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k_2" sheetId="1" state="visible" r:id="rId3"/>
    <sheet name="Default Filters" sheetId="2" state="visible" r:id="rId4"/>
    <sheet name="Options Mapping_2" sheetId="3" state="visible" r:id="rId5"/>
    <sheet name="Feuil4" sheetId="4" state="visible" r:id="rId6"/>
    <sheet name="Feuil1" sheetId="5" state="visible" r:id="rId7"/>
    <sheet name="Fields Mapping" sheetId="6" state="visible" r:id="rId8"/>
    <sheet name="Options Mapping (2)" sheetId="7" state="visible" r:id="rId9"/>
    <sheet name="Options Mapping (3)" sheetId="8" state="visible" r:id="rId10"/>
    <sheet name="hiddenWs" sheetId="9" state="hidden" r:id="rId11"/>
  </sheets>
  <definedNames>
    <definedName function="false" hidden="true" localSheetId="4" name="_xlnm._FilterDatabase" vbProcedure="false">Feuil1!$A$1:$B$1</definedName>
    <definedName function="false" hidden="true" localSheetId="7" name="_xlnm._FilterDatabase" vbProcedure="false">'Options Mapping (3)'!$A$1:$F$611</definedName>
    <definedName function="false" hidden="true" localSheetId="2" name="_xlnm._FilterDatabase" vbProcedure="false">'Options Mapping_2'!$A$1:$F$1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<sst xmlns="http://schemas.openxmlformats.org/spreadsheetml/2006/main" count="7025" uniqueCount="4119">
  <si>
    <t xml:space="preserve">EMPRESS Field</t>
  </si>
  <si>
    <t xml:space="preserve">D2 Field</t>
  </si>
  <si>
    <t xml:space="preserve">D2 STAGE</t>
  </si>
  <si>
    <t xml:space="preserve">Formula</t>
  </si>
  <si>
    <t xml:space="preserve">Field</t>
  </si>
  <si>
    <t xml:space="preserve">Date of notification</t>
  </si>
  <si>
    <t xml:space="preserve">enrolledAt</t>
  </si>
  <si>
    <t xml:space="preserve">Organisation unit name</t>
  </si>
  <si>
    <t xml:space="preserve">enrollmentOrgUnitName</t>
  </si>
  <si>
    <t xml:space="preserve">Diagnostic Initial</t>
  </si>
  <si>
    <t xml:space="preserve">x0n3BxFa6SC</t>
  </si>
  <si>
    <t xml:space="preserve">Numero Epid</t>
  </si>
  <si>
    <t xml:space="preserve">a1asiVlyTbc</t>
  </si>
  <si>
    <t xml:space="preserve">Nom</t>
  </si>
  <si>
    <t xml:space="preserve">ENRjVGxVL6l</t>
  </si>
  <si>
    <t xml:space="preserve">Prénom</t>
  </si>
  <si>
    <t xml:space="preserve">sB1IHYu2xQT</t>
  </si>
  <si>
    <t xml:space="preserve">Date de naissance</t>
  </si>
  <si>
    <t xml:space="preserve">NI0QRzJvQ0k</t>
  </si>
  <si>
    <t xml:space="preserve">Sexe à la naissance</t>
  </si>
  <si>
    <t xml:space="preserve">oindugucx72</t>
  </si>
  <si>
    <t xml:space="preserve">Adresse du domicile</t>
  </si>
  <si>
    <t xml:space="preserve">Xhdn49gUd52</t>
  </si>
  <si>
    <t xml:space="preserve">Numéro de téléphone du cas</t>
  </si>
  <si>
    <t xml:space="preserve">fctSQp5nAYl</t>
  </si>
  <si>
    <t xml:space="preserve">Date d'apparition des symptômes</t>
  </si>
  <si>
    <t xml:space="preserve">DllEa3TJHNo</t>
  </si>
  <si>
    <t xml:space="preserve">GIb6Ge9PCc4</t>
  </si>
  <si>
    <t xml:space="preserve">Regional - Sensibilité à la pénicilline</t>
  </si>
  <si>
    <t xml:space="preserve">JrIMAA2Ubbl</t>
  </si>
  <si>
    <t xml:space="preserve">F9CrPrvrtb1</t>
  </si>
  <si>
    <t xml:space="preserve">IF|F9CrPrvrtb1.VxdyTZMq4fz|Regional|F9CrPrvrtb1.JrIMAA2Ubbl</t>
  </si>
  <si>
    <t xml:space="preserve">National - Sensibilité à la pénicilline</t>
  </si>
  <si>
    <t xml:space="preserve">IF|F9CrPrvrtb1.VxdyTZMq4fz|National|F9CrPrvrtb1.JrIMAA2Ubbl</t>
  </si>
  <si>
    <t xml:space="preserve">District - Sensibilité à la pénicilline</t>
  </si>
  <si>
    <t xml:space="preserve">IF|F9CrPrvrtb1.VxdyTZMq4fz|District|F9CrPrvrtb1.JrIMAA2Ubbl</t>
  </si>
  <si>
    <t xml:space="preserve">urlFilter</t>
  </si>
  <si>
    <t xml:space="preserve">x0n3BxFa6SC:eq:Meningitis</t>
  </si>
  <si>
    <t xml:space="preserve">Field Name</t>
  </si>
  <si>
    <t xml:space="preserve">Field UID</t>
  </si>
  <si>
    <t xml:space="preserve">Condition</t>
  </si>
  <si>
    <t xml:space="preserve">eq:Meningitis</t>
  </si>
  <si>
    <t xml:space="preserve">EMPRESS Code</t>
  </si>
  <si>
    <t xml:space="preserve">D2 Name</t>
  </si>
  <si>
    <t xml:space="preserve">D2 Code</t>
  </si>
  <si>
    <t xml:space="preserve">D2 UID</t>
  </si>
  <si>
    <t xml:space="preserve">S</t>
  </si>
  <si>
    <t xml:space="preserve">EVYvzEXNFUK</t>
  </si>
  <si>
    <t xml:space="preserve">R</t>
  </si>
  <si>
    <t xml:space="preserve">u237EKffZdR</t>
  </si>
  <si>
    <t xml:space="preserve">N</t>
  </si>
  <si>
    <t xml:space="preserve">Xv0Mlo3ZhTC</t>
  </si>
  <si>
    <t xml:space="preserve">I</t>
  </si>
  <si>
    <t xml:space="preserve">yXpkdd4uD7W</t>
  </si>
  <si>
    <t xml:space="preserve">Masculin</t>
  </si>
  <si>
    <t xml:space="preserve">Male</t>
  </si>
  <si>
    <t xml:space="preserve">Ii4IxCLWEFn</t>
  </si>
  <si>
    <t xml:space="preserve">Féminin</t>
  </si>
  <si>
    <t xml:space="preserve">Female</t>
  </si>
  <si>
    <t xml:space="preserve">FKKrOBBFgs1</t>
  </si>
  <si>
    <t xml:space="preserve">Sensibilité à la pénicilline</t>
  </si>
  <si>
    <t xml:space="preserve">id</t>
  </si>
  <si>
    <t xml:space="preserve">name</t>
  </si>
  <si>
    <t xml:space="preserve">displayName</t>
  </si>
  <si>
    <t xml:space="preserve">NBdDIRa3Rm5</t>
  </si>
  <si>
    <t xml:space="preserve">JArMXhy67fe</t>
  </si>
  <si>
    <t xml:space="preserve">10A</t>
  </si>
  <si>
    <t xml:space="preserve">xHBJ92djEAb</t>
  </si>
  <si>
    <t xml:space="preserve">10F/10C/33C</t>
  </si>
  <si>
    <t xml:space="preserve">WAKvomshcgJ</t>
  </si>
  <si>
    <t xml:space="preserve">11A</t>
  </si>
  <si>
    <t xml:space="preserve">G3htfTNUFbT</t>
  </si>
  <si>
    <t xml:space="preserve">11A/11D</t>
  </si>
  <si>
    <t xml:space="preserve">kf4ivzbSrH9</t>
  </si>
  <si>
    <t xml:space="preserve">12A</t>
  </si>
  <si>
    <t xml:space="preserve">fptrzTFUsJd</t>
  </si>
  <si>
    <t xml:space="preserve">12F</t>
  </si>
  <si>
    <t xml:space="preserve">kwaz8w1DGWo</t>
  </si>
  <si>
    <t xml:space="preserve">12F/12A/12B/44/46</t>
  </si>
  <si>
    <t xml:space="preserve">tkKAl5t103Y</t>
  </si>
  <si>
    <t xml:space="preserve">zeZTB3NQNHF</t>
  </si>
  <si>
    <t xml:space="preserve">gkbcXWEuUOM</t>
  </si>
  <si>
    <t xml:space="preserve">15A/15F</t>
  </si>
  <si>
    <t xml:space="preserve">kXm8ZSUdXnK</t>
  </si>
  <si>
    <t xml:space="preserve">15B</t>
  </si>
  <si>
    <t xml:space="preserve">F1eM5WiVzJi</t>
  </si>
  <si>
    <t xml:space="preserve">15B/15C</t>
  </si>
  <si>
    <t xml:space="preserve">Ax1qCZf27pp</t>
  </si>
  <si>
    <t xml:space="preserve">15C</t>
  </si>
  <si>
    <t xml:space="preserve">LwHRoY86Er3</t>
  </si>
  <si>
    <t xml:space="preserve">16F</t>
  </si>
  <si>
    <t xml:space="preserve">Fh7dnfV427M</t>
  </si>
  <si>
    <t xml:space="preserve">17F</t>
  </si>
  <si>
    <t xml:space="preserve">Yf8UHYpuhJP</t>
  </si>
  <si>
    <t xml:space="preserve">18A/18B/18C/18F</t>
  </si>
  <si>
    <t xml:space="preserve">iZeEWefcVSi</t>
  </si>
  <si>
    <t xml:space="preserve">18C</t>
  </si>
  <si>
    <t xml:space="preserve">evF9tQ44mrX</t>
  </si>
  <si>
    <t xml:space="preserve">19A</t>
  </si>
  <si>
    <t xml:space="preserve">Sipqj23reqB</t>
  </si>
  <si>
    <t xml:space="preserve">19F</t>
  </si>
  <si>
    <t xml:space="preserve">QUOPvrMopP5</t>
  </si>
  <si>
    <t xml:space="preserve">j9bg51D2b0x</t>
  </si>
  <si>
    <t xml:space="preserve">qzhSXkZwdo0</t>
  </si>
  <si>
    <t xml:space="preserve">nTb109meYkH</t>
  </si>
  <si>
    <t xml:space="preserve">22F</t>
  </si>
  <si>
    <t xml:space="preserve">wkasZX0A8wB</t>
  </si>
  <si>
    <t xml:space="preserve">22F/22A</t>
  </si>
  <si>
    <t xml:space="preserve">vfEEsIFaFbY</t>
  </si>
  <si>
    <t xml:space="preserve">23A</t>
  </si>
  <si>
    <t xml:space="preserve">SmXcR3nlROf</t>
  </si>
  <si>
    <t xml:space="preserve">23B</t>
  </si>
  <si>
    <t xml:space="preserve">IgS4bOX8YwA</t>
  </si>
  <si>
    <t xml:space="preserve">23F</t>
  </si>
  <si>
    <t xml:space="preserve">C2C7kQnYQRX</t>
  </si>
  <si>
    <t xml:space="preserve">24A/24B/24F</t>
  </si>
  <si>
    <t xml:space="preserve">hXnMILVefGz</t>
  </si>
  <si>
    <t xml:space="preserve">25F/25A/38</t>
  </si>
  <si>
    <t xml:space="preserve">enu9aXVLPzJ</t>
  </si>
  <si>
    <t xml:space="preserve">rvuUAhe5qiW</t>
  </si>
  <si>
    <t xml:space="preserve">P6MFJpvob5I</t>
  </si>
  <si>
    <t xml:space="preserve">33F</t>
  </si>
  <si>
    <t xml:space="preserve">TqRDF4qfUau</t>
  </si>
  <si>
    <t xml:space="preserve">33F/33A/37</t>
  </si>
  <si>
    <t xml:space="preserve">fLdpFIZ1ZdG</t>
  </si>
  <si>
    <t xml:space="preserve">i3NgGyC1mRn</t>
  </si>
  <si>
    <t xml:space="preserve">35A/35C/42</t>
  </si>
  <si>
    <t xml:space="preserve">gcDzU1Pxk7h</t>
  </si>
  <si>
    <t xml:space="preserve">35B</t>
  </si>
  <si>
    <t xml:space="preserve">NBtkP5CDiAg</t>
  </si>
  <si>
    <t xml:space="preserve">35F/47F</t>
  </si>
  <si>
    <t xml:space="preserve">rddD6vyu7rI</t>
  </si>
  <si>
    <t xml:space="preserve">kppLaZjPG3Z</t>
  </si>
  <si>
    <t xml:space="preserve">ujKx4dXiZOv</t>
  </si>
  <si>
    <t xml:space="preserve">uMTwS1gWbS8</t>
  </si>
  <si>
    <t xml:space="preserve">vlmmcdlodN3</t>
  </si>
  <si>
    <t xml:space="preserve">Kkl7Qv0sfyu</t>
  </si>
  <si>
    <t xml:space="preserve">r3P1uDZ9Hkp</t>
  </si>
  <si>
    <t xml:space="preserve">6A</t>
  </si>
  <si>
    <t xml:space="preserve">gBpABR936vr</t>
  </si>
  <si>
    <t xml:space="preserve">6A/6B</t>
  </si>
  <si>
    <t xml:space="preserve">izJWZELCltJ</t>
  </si>
  <si>
    <t xml:space="preserve">6B </t>
  </si>
  <si>
    <t xml:space="preserve">6B</t>
  </si>
  <si>
    <t xml:space="preserve">T2vMWkNAeDF</t>
  </si>
  <si>
    <t xml:space="preserve">6C</t>
  </si>
  <si>
    <t xml:space="preserve">e3i8OItHQ7L</t>
  </si>
  <si>
    <t xml:space="preserve">6C/6D</t>
  </si>
  <si>
    <t xml:space="preserve">ClvEmNbP4Vy</t>
  </si>
  <si>
    <t xml:space="preserve">7C/7B/40</t>
  </si>
  <si>
    <t xml:space="preserve">xYHF3twEk8M</t>
  </si>
  <si>
    <t xml:space="preserve">7F</t>
  </si>
  <si>
    <t xml:space="preserve">dsFF6f4yZZq</t>
  </si>
  <si>
    <t xml:space="preserve">7F/7A</t>
  </si>
  <si>
    <t xml:space="preserve">BMzihe4Rnq1</t>
  </si>
  <si>
    <t xml:space="preserve">Zmtp5HCyA40</t>
  </si>
  <si>
    <t xml:space="preserve">9A</t>
  </si>
  <si>
    <t xml:space="preserve">eYfEd3raSPZ</t>
  </si>
  <si>
    <t xml:space="preserve">9N</t>
  </si>
  <si>
    <t xml:space="preserve">VVrnJ7cLA3N</t>
  </si>
  <si>
    <t xml:space="preserve">9N/9L</t>
  </si>
  <si>
    <t xml:space="preserve">ENcflZoXl8H</t>
  </si>
  <si>
    <t xml:space="preserve">9V</t>
  </si>
  <si>
    <t xml:space="preserve">fY6DsKfymLW</t>
  </si>
  <si>
    <t xml:space="preserve">9V/9A</t>
  </si>
  <si>
    <t xml:space="preserve">jj7BGmhbbm3</t>
  </si>
  <si>
    <t xml:space="preserve">AEROPORT AIGE</t>
  </si>
  <si>
    <t xml:space="preserve">Np19wP3KZPh</t>
  </si>
  <si>
    <t xml:space="preserve">Adequate</t>
  </si>
  <si>
    <t xml:space="preserve">Adéquat</t>
  </si>
  <si>
    <t xml:space="preserve">gOO7hoOZEFt</t>
  </si>
  <si>
    <t xml:space="preserve">Alive</t>
  </si>
  <si>
    <t xml:space="preserve">Vivant</t>
  </si>
  <si>
    <t xml:space="preserve">uobHTtAZlr3</t>
  </si>
  <si>
    <t xml:space="preserve">BIOLIM UL</t>
  </si>
  <si>
    <t xml:space="preserve">kRyPSNzKk9v</t>
  </si>
  <si>
    <t xml:space="preserve">Biopsie</t>
  </si>
  <si>
    <t xml:space="preserve">WrxmD7qAdOV</t>
  </si>
  <si>
    <t xml:space="preserve">Blood</t>
  </si>
  <si>
    <t xml:space="preserve">Sang</t>
  </si>
  <si>
    <t xml:space="preserve">Mo0Urr0YbTH</t>
  </si>
  <si>
    <t xml:space="preserve">Blood culture broth</t>
  </si>
  <si>
    <t xml:space="preserve">Bouillon d'hémoculture</t>
  </si>
  <si>
    <t xml:space="preserve">EUevWsFNccI</t>
  </si>
  <si>
    <t xml:space="preserve">Bloody</t>
  </si>
  <si>
    <t xml:space="preserve">Sanguinolent</t>
  </si>
  <si>
    <t xml:space="preserve">ZTgQsj5KmBw</t>
  </si>
  <si>
    <t xml:space="preserve">CCHF</t>
  </si>
  <si>
    <t xml:space="preserve">FHCC</t>
  </si>
  <si>
    <t xml:space="preserve">JaFOJxgrbNg</t>
  </si>
  <si>
    <t xml:space="preserve">CHIK</t>
  </si>
  <si>
    <t xml:space="preserve">nSJc7kfKGHd</t>
  </si>
  <si>
    <t xml:space="preserve">CHP ANEHO</t>
  </si>
  <si>
    <t xml:space="preserve">maMM4sZZtuW</t>
  </si>
  <si>
    <t xml:space="preserve">CHP KPALIME</t>
  </si>
  <si>
    <t xml:space="preserve">bZ4GrqqrOPi</t>
  </si>
  <si>
    <t xml:space="preserve">CHR ATAKPAME</t>
  </si>
  <si>
    <t xml:space="preserve">CgEKAoiM4G7</t>
  </si>
  <si>
    <t xml:space="preserve">CHR DAPAONG</t>
  </si>
  <si>
    <t xml:space="preserve">NEx6diIxOLN</t>
  </si>
  <si>
    <t xml:space="preserve">CHR SOKODE</t>
  </si>
  <si>
    <t xml:space="preserve">cr9QQS90169</t>
  </si>
  <si>
    <t xml:space="preserve">CHR TSEVIE</t>
  </si>
  <si>
    <t xml:space="preserve">At0GSilk7nY</t>
  </si>
  <si>
    <t xml:space="preserve">CHU-KARA</t>
  </si>
  <si>
    <t xml:space="preserve">MBHFUOfDkm3</t>
  </si>
  <si>
    <t xml:space="preserve">CSF</t>
  </si>
  <si>
    <t xml:space="preserve">LCR</t>
  </si>
  <si>
    <t xml:space="preserve">Td0QNppSMa7</t>
  </si>
  <si>
    <t xml:space="preserve">CSF &amp; Isolate</t>
  </si>
  <si>
    <t xml:space="preserve">PPC et isoler</t>
  </si>
  <si>
    <t xml:space="preserve">lxoQG504Aiy</t>
  </si>
  <si>
    <t xml:space="preserve">Citrin</t>
  </si>
  <si>
    <t xml:space="preserve">KZItd4ytTRq</t>
  </si>
  <si>
    <t xml:space="preserve">Clear</t>
  </si>
  <si>
    <t xml:space="preserve">rwwWhw34Ijf</t>
  </si>
  <si>
    <t xml:space="preserve">Cloudy</t>
  </si>
  <si>
    <t xml:space="preserve">Nuageux</t>
  </si>
  <si>
    <t xml:space="preserve">kD2Q1VzHBQZ</t>
  </si>
  <si>
    <t xml:space="preserve">Compatible</t>
  </si>
  <si>
    <t xml:space="preserve">I3yaqzIivxe</t>
  </si>
  <si>
    <t xml:space="preserve">Confirmed</t>
  </si>
  <si>
    <t xml:space="preserve">Confirmé</t>
  </si>
  <si>
    <t xml:space="preserve">JJUxQVv1TOi</t>
  </si>
  <si>
    <t xml:space="preserve">Confirmed Measles</t>
  </si>
  <si>
    <t xml:space="preserve">Rougeole confirmée</t>
  </si>
  <si>
    <t xml:space="preserve">oFtauP4Vlqm</t>
  </si>
  <si>
    <t xml:space="preserve">Confirmed Rubella</t>
  </si>
  <si>
    <t xml:space="preserve">Rubéole confirmée</t>
  </si>
  <si>
    <t xml:space="preserve">EKy0g2twqYI</t>
  </si>
  <si>
    <t xml:space="preserve">Contaminated</t>
  </si>
  <si>
    <t xml:space="preserve">Contaminé</t>
  </si>
  <si>
    <t xml:space="preserve">cX4iAyMyoVg</t>
  </si>
  <si>
    <t xml:space="preserve">pYp96LzXgx9</t>
  </si>
  <si>
    <t xml:space="preserve">DNA extract</t>
  </si>
  <si>
    <t xml:space="preserve">Extrait d'ADN</t>
  </si>
  <si>
    <t xml:space="preserve">wNtD0f4B7c5</t>
  </si>
  <si>
    <t xml:space="preserve">Dengue</t>
  </si>
  <si>
    <t xml:space="preserve">xqBOuzUdmB5</t>
  </si>
  <si>
    <t xml:space="preserve">Died</t>
  </si>
  <si>
    <t xml:space="preserve">Décès</t>
  </si>
  <si>
    <t xml:space="preserve">r1JgMLqmCBj</t>
  </si>
  <si>
    <t xml:space="preserve">Discard case</t>
  </si>
  <si>
    <t xml:space="preserve">Cas de rejet</t>
  </si>
  <si>
    <t xml:space="preserve">uxcbcORxU1c</t>
  </si>
  <si>
    <t xml:space="preserve">Discarded</t>
  </si>
  <si>
    <t xml:space="preserve">Décarté(e)s</t>
  </si>
  <si>
    <t xml:space="preserve">XPMJsFrSTEd</t>
  </si>
  <si>
    <t xml:space="preserve">District</t>
  </si>
  <si>
    <t xml:space="preserve">W2a2kzKV1bJ</t>
  </si>
  <si>
    <t xml:space="preserve">Dried blood spots</t>
  </si>
  <si>
    <t xml:space="preserve">Taches de sang séché</t>
  </si>
  <si>
    <t xml:space="preserve">JxOOtyc88Pj</t>
  </si>
  <si>
    <t xml:space="preserve">Ecouvillon Nasopharyngé</t>
  </si>
  <si>
    <t xml:space="preserve">pcBV0QHuclz</t>
  </si>
  <si>
    <t xml:space="preserve">Ecouvillon Oropharyngé</t>
  </si>
  <si>
    <t xml:space="preserve">IcIkY8BThTa</t>
  </si>
  <si>
    <t xml:space="preserve">GNB</t>
  </si>
  <si>
    <t xml:space="preserve">da5t3sJxQvi</t>
  </si>
  <si>
    <t xml:space="preserve">GND</t>
  </si>
  <si>
    <t xml:space="preserve">DGN</t>
  </si>
  <si>
    <t xml:space="preserve">PNJMm8nx84J</t>
  </si>
  <si>
    <t xml:space="preserve">GPB</t>
  </si>
  <si>
    <t xml:space="preserve">cpVhuOzKIh3</t>
  </si>
  <si>
    <t xml:space="preserve">GPD</t>
  </si>
  <si>
    <t xml:space="preserve">DGP</t>
  </si>
  <si>
    <t xml:space="preserve">u2QMwklZxva</t>
  </si>
  <si>
    <t xml:space="preserve">Grippe</t>
  </si>
  <si>
    <t xml:space="preserve">H385TtNMUUE</t>
  </si>
  <si>
    <t xml:space="preserve">H. influenzae (non-b)</t>
  </si>
  <si>
    <t xml:space="preserve">pZlwOSzQdls</t>
  </si>
  <si>
    <t xml:space="preserve">atVapiXD4QW</t>
  </si>
  <si>
    <t xml:space="preserve">HI</t>
  </si>
  <si>
    <t xml:space="preserve">cpWOMrGG6AB</t>
  </si>
  <si>
    <t xml:space="preserve">Hib</t>
  </si>
  <si>
    <t xml:space="preserve">kE5YBjPHRXT</t>
  </si>
  <si>
    <t xml:space="preserve">qLQw0bELWbU</t>
  </si>
  <si>
    <t xml:space="preserve">wp3iVgC65cw</t>
  </si>
  <si>
    <t xml:space="preserve">INH KARA</t>
  </si>
  <si>
    <t xml:space="preserve">Xn061x1GQdY</t>
  </si>
  <si>
    <t xml:space="preserve">INH LOME</t>
  </si>
  <si>
    <t xml:space="preserve">Yvzv5xrucPH</t>
  </si>
  <si>
    <t xml:space="preserve">Incomplete investigation</t>
  </si>
  <si>
    <t xml:space="preserve">Investigation incomplète</t>
  </si>
  <si>
    <t xml:space="preserve">pqxvAQU1z9W</t>
  </si>
  <si>
    <t xml:space="preserve">Inconnu</t>
  </si>
  <si>
    <t xml:space="preserve">jttLVdeAei1</t>
  </si>
  <si>
    <t xml:space="preserve">Indeterminate</t>
  </si>
  <si>
    <t xml:space="preserve">Indéterminé</t>
  </si>
  <si>
    <t xml:space="preserve">e1FqzvHt7qs</t>
  </si>
  <si>
    <t xml:space="preserve">Inpatient</t>
  </si>
  <si>
    <t xml:space="preserve">Hospitalisé</t>
  </si>
  <si>
    <t xml:space="preserve">Intermediate</t>
  </si>
  <si>
    <t xml:space="preserve">Intermédiaire</t>
  </si>
  <si>
    <t xml:space="preserve">UrQkxMyOUqd</t>
  </si>
  <si>
    <t xml:space="preserve">International</t>
  </si>
  <si>
    <t xml:space="preserve">eSSRUiw41oM</t>
  </si>
  <si>
    <t xml:space="preserve">Isolate</t>
  </si>
  <si>
    <t xml:space="preserve">Isoler</t>
  </si>
  <si>
    <t xml:space="preserve">mUQCRCAMxsK</t>
  </si>
  <si>
    <t xml:space="preserve">Left against medical Advice</t>
  </si>
  <si>
    <t xml:space="preserve">LiV7rQ7b7Q9</t>
  </si>
  <si>
    <t xml:space="preserve">Nasopharyngeal swab</t>
  </si>
  <si>
    <t xml:space="preserve">Prélèvement nasopharyngé</t>
  </si>
  <si>
    <t xml:space="preserve">ewuzmME1qFp</t>
  </si>
  <si>
    <t xml:space="preserve">National</t>
  </si>
  <si>
    <t xml:space="preserve">HhUVu28i3an</t>
  </si>
  <si>
    <t xml:space="preserve">Negative</t>
  </si>
  <si>
    <t xml:space="preserve">Négatif</t>
  </si>
  <si>
    <t xml:space="preserve">IOg98EaHwS0</t>
  </si>
  <si>
    <t xml:space="preserve">L1aeNIKu1jb</t>
  </si>
  <si>
    <t xml:space="preserve">L7gKE8ZvFLM</t>
  </si>
  <si>
    <t xml:space="preserve">Nm</t>
  </si>
  <si>
    <t xml:space="preserve">jrf4YxrhpFX</t>
  </si>
  <si>
    <t xml:space="preserve">Nm Indeterminate</t>
  </si>
  <si>
    <t xml:space="preserve">Nm Indéterminé</t>
  </si>
  <si>
    <t xml:space="preserve">pdGnyo0YID4</t>
  </si>
  <si>
    <t xml:space="preserve">T5W2GTrSd01</t>
  </si>
  <si>
    <t xml:space="preserve">NmA</t>
  </si>
  <si>
    <t xml:space="preserve">bf61cv4IceG</t>
  </si>
  <si>
    <t xml:space="preserve">oM3aV7qiEx9</t>
  </si>
  <si>
    <t xml:space="preserve">f2KO0mhCEIQ</t>
  </si>
  <si>
    <t xml:space="preserve">NmB</t>
  </si>
  <si>
    <t xml:space="preserve">hp5Vp3Mvd4N</t>
  </si>
  <si>
    <t xml:space="preserve">UatflPTBCdM</t>
  </si>
  <si>
    <t xml:space="preserve">NmB/E. coliK1</t>
  </si>
  <si>
    <t xml:space="preserve">NmB/E. cliK1</t>
  </si>
  <si>
    <t xml:space="preserve">UVMUAEljlxv</t>
  </si>
  <si>
    <t xml:space="preserve">NmC</t>
  </si>
  <si>
    <t xml:space="preserve">w21vPo5oOKf</t>
  </si>
  <si>
    <t xml:space="preserve">zTzH9ZhktAj</t>
  </si>
  <si>
    <t xml:space="preserve">BM2G8I7PtjQ</t>
  </si>
  <si>
    <t xml:space="preserve">NmW</t>
  </si>
  <si>
    <t xml:space="preserve">WNm</t>
  </si>
  <si>
    <t xml:space="preserve">zc8dQ52ykoL</t>
  </si>
  <si>
    <t xml:space="preserve">sL67HSORm5M</t>
  </si>
  <si>
    <t xml:space="preserve">NmW/Y</t>
  </si>
  <si>
    <t xml:space="preserve">OR9vhkOxxa5</t>
  </si>
  <si>
    <t xml:space="preserve">NmX</t>
  </si>
  <si>
    <t xml:space="preserve">jhW4XY6kHlc</t>
  </si>
  <si>
    <t xml:space="preserve">lxJ6eoNNEs3</t>
  </si>
  <si>
    <t xml:space="preserve">cwwGtmRjhLA</t>
  </si>
  <si>
    <t xml:space="preserve">NmY</t>
  </si>
  <si>
    <t xml:space="preserve">yVsnOTFffwH</t>
  </si>
  <si>
    <t xml:space="preserve">smEt9Mbm6uL</t>
  </si>
  <si>
    <t xml:space="preserve">No</t>
  </si>
  <si>
    <t xml:space="preserve">Non</t>
  </si>
  <si>
    <t xml:space="preserve">N02wv5i5DRk</t>
  </si>
  <si>
    <t xml:space="preserve">No organisms</t>
  </si>
  <si>
    <t xml:space="preserve">Pas dorganismes</t>
  </si>
  <si>
    <t xml:space="preserve">R98tI2c6rF5</t>
  </si>
  <si>
    <t xml:space="preserve">HcWcCwTU93Q</t>
  </si>
  <si>
    <t xml:space="preserve">Non PCV 13 serotype</t>
  </si>
  <si>
    <t xml:space="preserve">Non sérotype PCV 13</t>
  </si>
  <si>
    <t xml:space="preserve">DNFjQrq01mB</t>
  </si>
  <si>
    <t xml:space="preserve">Not AFP</t>
  </si>
  <si>
    <t xml:space="preserve">Non PFA</t>
  </si>
  <si>
    <t xml:space="preserve">m0bFH33uAmV</t>
  </si>
  <si>
    <t xml:space="preserve">Not Done</t>
  </si>
  <si>
    <t xml:space="preserve">Non fait</t>
  </si>
  <si>
    <t xml:space="preserve">sHEAF6xReZr</t>
  </si>
  <si>
    <t xml:space="preserve">Not adequate</t>
  </si>
  <si>
    <t xml:space="preserve">Non adéquat</t>
  </si>
  <si>
    <t xml:space="preserve">BxMAmql162T</t>
  </si>
  <si>
    <t xml:space="preserve">Not done</t>
  </si>
  <si>
    <t xml:space="preserve">Jw7yWToZWtB</t>
  </si>
  <si>
    <t xml:space="preserve">Non effectué</t>
  </si>
  <si>
    <t xml:space="preserve">cX740njfjyc</t>
  </si>
  <si>
    <t xml:space="preserve">eoWDNZ7Ni6D</t>
  </si>
  <si>
    <t xml:space="preserve">Not tested</t>
  </si>
  <si>
    <t xml:space="preserve">Non testé</t>
  </si>
  <si>
    <t xml:space="preserve">JpsYC6MIbfJ</t>
  </si>
  <si>
    <t xml:space="preserve">Oral fluid</t>
  </si>
  <si>
    <t xml:space="preserve">Liquide buccal</t>
  </si>
  <si>
    <t xml:space="preserve">EEXv8AdoZ8s</t>
  </si>
  <si>
    <t xml:space="preserve">Other</t>
  </si>
  <si>
    <t xml:space="preserve">Autre</t>
  </si>
  <si>
    <t xml:space="preserve">Lp45KFk3aNU</t>
  </si>
  <si>
    <t xml:space="preserve">k15reUnz82e</t>
  </si>
  <si>
    <t xml:space="preserve">Other germs</t>
  </si>
  <si>
    <t xml:space="preserve">Autres germes</t>
  </si>
  <si>
    <t xml:space="preserve">qW85uvOWUgU</t>
  </si>
  <si>
    <t xml:space="preserve">Other organism</t>
  </si>
  <si>
    <t xml:space="preserve">Autre germe</t>
  </si>
  <si>
    <t xml:space="preserve">Vnj0YHETsip</t>
  </si>
  <si>
    <t xml:space="preserve">Other, specify</t>
  </si>
  <si>
    <t xml:space="preserve">Autre, précisez</t>
  </si>
  <si>
    <t xml:space="preserve">x9yVKkv9koc</t>
  </si>
  <si>
    <t xml:space="preserve">Oui</t>
  </si>
  <si>
    <t xml:space="preserve">gL5y922WHmG</t>
  </si>
  <si>
    <t xml:space="preserve">Outpatient</t>
  </si>
  <si>
    <t xml:space="preserve">Soins ambulatoires</t>
  </si>
  <si>
    <t xml:space="preserve">b1DUCuHuVKd</t>
  </si>
  <si>
    <t xml:space="preserve">PNLT CHU SO</t>
  </si>
  <si>
    <t xml:space="preserve">RHHzz9Vkypg</t>
  </si>
  <si>
    <t xml:space="preserve">Pending discharge</t>
  </si>
  <si>
    <t xml:space="preserve">En attente de sortie</t>
  </si>
  <si>
    <t xml:space="preserve">RJDzONNhEEN</t>
  </si>
  <si>
    <t xml:space="preserve">Perdu de vue</t>
  </si>
  <si>
    <t xml:space="preserve">fXwQZkiKxcS</t>
  </si>
  <si>
    <t xml:space="preserve">Pleural fluid</t>
  </si>
  <si>
    <t xml:space="preserve">Liquide pleural</t>
  </si>
  <si>
    <t xml:space="preserve">skPg42TPGZe</t>
  </si>
  <si>
    <t xml:space="preserve">Positive</t>
  </si>
  <si>
    <t xml:space="preserve">Positif</t>
  </si>
  <si>
    <t xml:space="preserve">llDkd8h8Ho0</t>
  </si>
  <si>
    <t xml:space="preserve">Probable</t>
  </si>
  <si>
    <t xml:space="preserve">jV3S52qKCua</t>
  </si>
  <si>
    <t xml:space="preserve">Prélèvement environnemental</t>
  </si>
  <si>
    <t xml:space="preserve">kavLg0PRyev</t>
  </si>
  <si>
    <t xml:space="preserve">Prélèvement sur rongeurs</t>
  </si>
  <si>
    <t xml:space="preserve">hW1lpDefYXo</t>
  </si>
  <si>
    <t xml:space="preserve">Purulent</t>
  </si>
  <si>
    <t xml:space="preserve">PuQNjAPpQCC</t>
  </si>
  <si>
    <t xml:space="preserve">RVF</t>
  </si>
  <si>
    <t xml:space="preserve">DdrtnFJm77K</t>
  </si>
  <si>
    <t xml:space="preserve">Regional Institut Pasteur Dakar</t>
  </si>
  <si>
    <t xml:space="preserve">HE9XdHEjvLQ</t>
  </si>
  <si>
    <t xml:space="preserve">Regional Noguchi (NMIMR)</t>
  </si>
  <si>
    <t xml:space="preserve">Resistant</t>
  </si>
  <si>
    <t xml:space="preserve">Résistant</t>
  </si>
  <si>
    <t xml:space="preserve">SFlrbuYPuDZ</t>
  </si>
  <si>
    <t xml:space="preserve">Régional</t>
  </si>
  <si>
    <t xml:space="preserve">XCt6ZG3UjQ5</t>
  </si>
  <si>
    <t xml:space="preserve">S. pneumoniae</t>
  </si>
  <si>
    <t xml:space="preserve">oovoHr8Uddj</t>
  </si>
  <si>
    <t xml:space="preserve">QalKJosPlQT</t>
  </si>
  <si>
    <t xml:space="preserve">S.pneumoniae</t>
  </si>
  <si>
    <t xml:space="preserve">Sensitive</t>
  </si>
  <si>
    <t xml:space="preserve">Sensible</t>
  </si>
  <si>
    <t xml:space="preserve">e927wGwxOIf</t>
  </si>
  <si>
    <t xml:space="preserve">Sous traitement</t>
  </si>
  <si>
    <t xml:space="preserve">jchTQrwLcbi</t>
  </si>
  <si>
    <t xml:space="preserve">Spn</t>
  </si>
  <si>
    <t xml:space="preserve">HJ6I8SI8FWc</t>
  </si>
  <si>
    <t xml:space="preserve">Spn NT serotype / high lytA Ct value</t>
  </si>
  <si>
    <t xml:space="preserve">Sérotype Spn NT / valeur élevée du Ct lytA</t>
  </si>
  <si>
    <t xml:space="preserve">xOBo1xBuPqe</t>
  </si>
  <si>
    <t xml:space="preserve">Stool</t>
  </si>
  <si>
    <t xml:space="preserve">Selle</t>
  </si>
  <si>
    <t xml:space="preserve">XQKGtlhqn6D</t>
  </si>
  <si>
    <t xml:space="preserve">Streptococcus B</t>
  </si>
  <si>
    <t xml:space="preserve">Streptocoque B</t>
  </si>
  <si>
    <t xml:space="preserve">nQemYPqozXp</t>
  </si>
  <si>
    <t xml:space="preserve">vaSPzNE0TMs</t>
  </si>
  <si>
    <t xml:space="preserve">C7X9BEo0Gc1</t>
  </si>
  <si>
    <t xml:space="preserve">Suspect, PCR negative/inconclusive</t>
  </si>
  <si>
    <t xml:space="preserve">Suspect, PCR négative/incluse</t>
  </si>
  <si>
    <t xml:space="preserve">Q1RsckBqzqB</t>
  </si>
  <si>
    <t xml:space="preserve">Suspect, pending PCR result</t>
  </si>
  <si>
    <t xml:space="preserve">Suspect, en attente du résultat de la PCR</t>
  </si>
  <si>
    <t xml:space="preserve">aOKjjS1cZiY</t>
  </si>
  <si>
    <t xml:space="preserve">TI Inoculated</t>
  </si>
  <si>
    <t xml:space="preserve">TI inoculé</t>
  </si>
  <si>
    <t xml:space="preserve">vCaXGPUEumD</t>
  </si>
  <si>
    <t xml:space="preserve">Throat Swab</t>
  </si>
  <si>
    <t xml:space="preserve">Prélèvement de gorge</t>
  </si>
  <si>
    <t xml:space="preserve">YJlGMAfMMEW</t>
  </si>
  <si>
    <t xml:space="preserve">Transferred</t>
  </si>
  <si>
    <t xml:space="preserve">Transféré</t>
  </si>
  <si>
    <t xml:space="preserve">grHsIc0auCH</t>
  </si>
  <si>
    <t xml:space="preserve">Turbid</t>
  </si>
  <si>
    <t xml:space="preserve">NbTynoh1k1q</t>
  </si>
  <si>
    <t xml:space="preserve">Unknown</t>
  </si>
  <si>
    <t xml:space="preserve">T7WOts04nGt</t>
  </si>
  <si>
    <t xml:space="preserve">vBLCsvbOjSM</t>
  </si>
  <si>
    <t xml:space="preserve">GL0GIRTnjdm</t>
  </si>
  <si>
    <t xml:space="preserve">Urine</t>
  </si>
  <si>
    <t xml:space="preserve">HBfAUIWWlcB</t>
  </si>
  <si>
    <t xml:space="preserve">W Nile</t>
  </si>
  <si>
    <t xml:space="preserve">VgKAMfYDNyu</t>
  </si>
  <si>
    <t xml:space="preserve">Whole blood</t>
  </si>
  <si>
    <t xml:space="preserve">wG3CDdTWK5x</t>
  </si>
  <si>
    <t xml:space="preserve">Xanthochromic</t>
  </si>
  <si>
    <t xml:space="preserve">Xanthochromique</t>
  </si>
  <si>
    <t xml:space="preserve">Hpg7ql1Vckg</t>
  </si>
  <si>
    <t xml:space="preserve">Yellow Fever</t>
  </si>
  <si>
    <t xml:space="preserve">Fièvre jaune</t>
  </si>
  <si>
    <t xml:space="preserve">ufDkCWWmIhH</t>
  </si>
  <si>
    <t xml:space="preserve">Yes by card or register</t>
  </si>
  <si>
    <t xml:space="preserve">Oui par carte ou registre</t>
  </si>
  <si>
    <t xml:space="preserve">pfWSeWts2Of</t>
  </si>
  <si>
    <t xml:space="preserve">Yes by verbal history</t>
  </si>
  <si>
    <t xml:space="preserve">Oui par l'histoire orale</t>
  </si>
  <si>
    <t xml:space="preserve">gCgVCpQmqFj</t>
  </si>
  <si>
    <t xml:space="preserve">aVDPV</t>
  </si>
  <si>
    <t xml:space="preserve">nFwZj8UuuK3</t>
  </si>
  <si>
    <t xml:space="preserve">cVDPV</t>
  </si>
  <si>
    <t xml:space="preserve">VDPc</t>
  </si>
  <si>
    <t xml:space="preserve">TW8rk5gvtaf</t>
  </si>
  <si>
    <t xml:space="preserve">iVDPV </t>
  </si>
  <si>
    <t xml:space="preserve">PVDVi</t>
  </si>
  <si>
    <t xml:space="preserve">eM89HmFTF3W</t>
  </si>
  <si>
    <t xml:space="preserve">not done</t>
  </si>
  <si>
    <t xml:space="preserve">Pas fait</t>
  </si>
  <si>
    <t xml:space="preserve">Aif45J6yuAp</t>
  </si>
  <si>
    <t xml:space="preserve">Date vue dans un centre santé</t>
  </si>
  <si>
    <t xml:space="preserve">aWLt5NgPpr1</t>
  </si>
  <si>
    <t xml:space="preserve">District - Autres antibiotiques testés</t>
  </si>
  <si>
    <t xml:space="preserve">Regional - Autres antibiotiques testés</t>
  </si>
  <si>
    <t xml:space="preserve">National - Autres antibiotiques testés</t>
  </si>
  <si>
    <t xml:space="preserve">BEILQ6B1ilK</t>
  </si>
  <si>
    <t xml:space="preserve">SCB - Crises/convulsions</t>
  </si>
  <si>
    <t xml:space="preserve">BoIxN7Kfj07</t>
  </si>
  <si>
    <t xml:space="preserve">Devenir du patient</t>
  </si>
  <si>
    <t xml:space="preserve">bX9jmncMHLC</t>
  </si>
  <si>
    <t xml:space="preserve">District - Résultat final du laboratoire</t>
  </si>
  <si>
    <t xml:space="preserve">Regional - Résultat final du laboratoire</t>
  </si>
  <si>
    <t xml:space="preserve">National - Résultat final du laboratoire</t>
  </si>
  <si>
    <t xml:space="preserve">CAHdBvzG00V</t>
  </si>
  <si>
    <t xml:space="preserve">District - Sensibilité à la ciprofloxacine</t>
  </si>
  <si>
    <t xml:space="preserve">Regional - Sensibilité à la ciprofloxacine</t>
  </si>
  <si>
    <t xml:space="preserve">National - Sensibilité à la ciprofloxacine</t>
  </si>
  <si>
    <t xml:space="preserve">ClQKlLa5fL1</t>
  </si>
  <si>
    <t xml:space="preserve">ID de l'échantillon</t>
  </si>
  <si>
    <t xml:space="preserve">dYZ8yAOfGfN</t>
  </si>
  <si>
    <t xml:space="preserve">District - Résultat de la culture </t>
  </si>
  <si>
    <t xml:space="preserve">Regional - Résultat de la culture </t>
  </si>
  <si>
    <t xml:space="preserve">National - Résultat de la culture </t>
  </si>
  <si>
    <t xml:space="preserve">E4SfiWAIaTR</t>
  </si>
  <si>
    <t xml:space="preserve">District - Sensibilité à l'oxacilline</t>
  </si>
  <si>
    <t xml:space="preserve">Regional - Sensibilité à l'oxacilline</t>
  </si>
  <si>
    <t xml:space="preserve">National - Sensibilité à l'oxacilline</t>
  </si>
  <si>
    <t xml:space="preserve">F5Hk14hp8mT</t>
  </si>
  <si>
    <t xml:space="preserve">Devenir - Date</t>
  </si>
  <si>
    <t xml:space="preserve">fhS3GrGepCn</t>
  </si>
  <si>
    <t xml:space="preserve">District - Identification du laboratoire</t>
  </si>
  <si>
    <t xml:space="preserve">Regional - Identification du laboratoire</t>
  </si>
  <si>
    <t xml:space="preserve">National - Identification du laboratoire</t>
  </si>
  <si>
    <t xml:space="preserve">fkqcoDLvzED</t>
  </si>
  <si>
    <t xml:space="preserve">Type d'échantillon</t>
  </si>
  <si>
    <t xml:space="preserve">fw1kz1gpanC</t>
  </si>
  <si>
    <t xml:space="preserve">District - LYMPH(%)</t>
  </si>
  <si>
    <t xml:space="preserve">Regional - LYMPH(%)</t>
  </si>
  <si>
    <t xml:space="preserve">National - LYMPH(%)</t>
  </si>
  <si>
    <t xml:space="preserve">Gun6zfKdFmp</t>
  </si>
  <si>
    <t xml:space="preserve">Personne qui a terminé l'investigation : Contact</t>
  </si>
  <si>
    <t xml:space="preserve">heLc9SVsvjT</t>
  </si>
  <si>
    <t xml:space="preserve">Autres signes/symptômes, précisez</t>
  </si>
  <si>
    <t xml:space="preserve">HhKjMQgPwuQ</t>
  </si>
  <si>
    <t xml:space="preserve">Date de la vaccination : MenAfriVac</t>
  </si>
  <si>
    <t xml:space="preserve">hN5qrbGeYnF</t>
  </si>
  <si>
    <t xml:space="preserve">District - Nom du laboratoire</t>
  </si>
  <si>
    <t xml:space="preserve">Regional - Nom du laboratoire</t>
  </si>
  <si>
    <t xml:space="preserve">National - Nom du laboratoire</t>
  </si>
  <si>
    <t xml:space="preserve">HoNyj7eawmh</t>
  </si>
  <si>
    <t xml:space="preserve">District - sérotype S. pneumoniae</t>
  </si>
  <si>
    <t xml:space="preserve">Regional - sérotype S. pneumoniae</t>
  </si>
  <si>
    <t xml:space="preserve">National - sérotype S. pneumoniae</t>
  </si>
  <si>
    <t xml:space="preserve">iDaqzjHTZRz</t>
  </si>
  <si>
    <t xml:space="preserve">Altération de la conscience</t>
  </si>
  <si>
    <t xml:space="preserve">IiInVS6fKH3</t>
  </si>
  <si>
    <t xml:space="preserve">District - Résultat de l'agglutination du latex</t>
  </si>
  <si>
    <t xml:space="preserve">Regional - Résultat de l'agglutination du latex</t>
  </si>
  <si>
    <t xml:space="preserve">National - Résultat de l'agglutination du latex</t>
  </si>
  <si>
    <t xml:space="preserve">ixy37MXw6pL</t>
  </si>
  <si>
    <t xml:space="preserve">Date de la vaccination : Hib</t>
  </si>
  <si>
    <t xml:space="preserve">iZvjnxwGA6Z</t>
  </si>
  <si>
    <t xml:space="preserve">Vaccin reçu : Vaccin méningococcique polyvalent</t>
  </si>
  <si>
    <t xml:space="preserve">j8xNVOBsWMr</t>
  </si>
  <si>
    <t xml:space="preserve">District - Autres résultats de tests</t>
  </si>
  <si>
    <t xml:space="preserve">Regional - Autres résultats de tests</t>
  </si>
  <si>
    <t xml:space="preserve">National - Autres résultats de tests</t>
  </si>
  <si>
    <t xml:space="preserve">jC5HBD3N2h5</t>
  </si>
  <si>
    <t xml:space="preserve">District - Résultat du TDR</t>
  </si>
  <si>
    <t xml:space="preserve">Regional - Résultat du TDR</t>
  </si>
  <si>
    <t xml:space="preserve">National - Résultat du TDR</t>
  </si>
  <si>
    <t xml:space="preserve">jG9A796Xvo8</t>
  </si>
  <si>
    <t xml:space="preserve">District - test TDR utilisé (préciser)</t>
  </si>
  <si>
    <t xml:space="preserve">Regional - test TDR utilisé (préciser)</t>
  </si>
  <si>
    <t xml:space="preserve">National - test TDR utilisé (préciser)</t>
  </si>
  <si>
    <t xml:space="preserve">jo9nGjYxvxJ</t>
  </si>
  <si>
    <t xml:space="preserve">District - Résultat de la coloration de Gram</t>
  </si>
  <si>
    <t xml:space="preserve">Regional - Résultat de la coloration de Gram</t>
  </si>
  <si>
    <t xml:space="preserve">National - Résultat de la coloration de Gram</t>
  </si>
  <si>
    <t xml:space="preserve">juvZrUT1h3P</t>
  </si>
  <si>
    <t xml:space="preserve">District - Etat frais</t>
  </si>
  <si>
    <t xml:space="preserve">Regional - Etat frais</t>
  </si>
  <si>
    <t xml:space="preserve">National - Etat frais</t>
  </si>
  <si>
    <t xml:space="preserve">jXANIQUFvqc</t>
  </si>
  <si>
    <t xml:space="preserve">District - Sensibilité à la ceftriaxone</t>
  </si>
  <si>
    <t xml:space="preserve">Regional - Sensibilité à la ceftriaxone</t>
  </si>
  <si>
    <t xml:space="preserve">National - Sensibilité à la ceftriaxone</t>
  </si>
  <si>
    <t xml:space="preserve">Ka2QSdJualP</t>
  </si>
  <si>
    <t xml:space="preserve">Raideur du cou</t>
  </si>
  <si>
    <t xml:space="preserve">kBBrPq9mMEw</t>
  </si>
  <si>
    <t xml:space="preserve">District - État de l'échantillon</t>
  </si>
  <si>
    <t xml:space="preserve">Regional - État de l'échantillon</t>
  </si>
  <si>
    <t xml:space="preserve">National - État de l'échantillon</t>
  </si>
  <si>
    <t xml:space="preserve">kiCiB1aRwBe</t>
  </si>
  <si>
    <t xml:space="preserve">Nom du notificateur</t>
  </si>
  <si>
    <t xml:space="preserve">KoYXKIRt0sH</t>
  </si>
  <si>
    <t xml:space="preserve">Téléphone du notificateur</t>
  </si>
  <si>
    <t xml:space="preserve">l7EjsU6Wu2k</t>
  </si>
  <si>
    <t xml:space="preserve">N doses reçues : PCV</t>
  </si>
  <si>
    <t xml:space="preserve">LjgDKL4jm5K</t>
  </si>
  <si>
    <t xml:space="preserve">District - Aspect de l'échantillon / examen macroscopique (LCR)</t>
  </si>
  <si>
    <t xml:space="preserve">Regional - Aspect de l'échantillon / examen macroscopique (LCR)</t>
  </si>
  <si>
    <t xml:space="preserve">National - Aspect de l'échantillon / examen macroscopique (LCR)</t>
  </si>
  <si>
    <t xml:space="preserve">LNRDN39NSfY</t>
  </si>
  <si>
    <t xml:space="preserve">Echantillon prélevé (O/N)</t>
  </si>
  <si>
    <t xml:space="preserve">NMLXJ99HNOw</t>
  </si>
  <si>
    <t xml:space="preserve">Vaccin reçu : MenAfriVac</t>
  </si>
  <si>
    <t xml:space="preserve">o59BSUIg0Q5</t>
  </si>
  <si>
    <t xml:space="preserve">District - Date de réception de l'échantillon</t>
  </si>
  <si>
    <t xml:space="preserve">Regional - Date de réception de l'échantillon</t>
  </si>
  <si>
    <t xml:space="preserve">National - Date de réception de l'échantillon</t>
  </si>
  <si>
    <t xml:space="preserve">OJ0oQWQp0u6</t>
  </si>
  <si>
    <t xml:space="preserve">Nausées</t>
  </si>
  <si>
    <t xml:space="preserve">P36lcIeZyhF</t>
  </si>
  <si>
    <t xml:space="preserve">Date de prélèvement de l'échantillon</t>
  </si>
  <si>
    <t xml:space="preserve">poOs5h8X9CD</t>
  </si>
  <si>
    <t xml:space="preserve">N doses reçues : Hib</t>
  </si>
  <si>
    <t xml:space="preserve">pXGhYbf5cAP</t>
  </si>
  <si>
    <t xml:space="preserve">Patients hospitalisés/non hospitalisés</t>
  </si>
  <si>
    <t xml:space="preserve">r9R6DTQdVgR</t>
  </si>
  <si>
    <t xml:space="preserve">Classification finale</t>
  </si>
  <si>
    <t xml:space="preserve">RfciWN4qeZk</t>
  </si>
  <si>
    <t xml:space="preserve">Date d'envoi/expedition de l'échantillon au laboratoire</t>
  </si>
  <si>
    <t xml:space="preserve">rLl9AAjOwyf</t>
  </si>
  <si>
    <t xml:space="preserve">Personne qui a terminé l'investigation : Nom</t>
  </si>
  <si>
    <t xml:space="preserve">RQyRmg1Ry0u</t>
  </si>
  <si>
    <t xml:space="preserve">Date de la vaccination : PCV</t>
  </si>
  <si>
    <t xml:space="preserve">S45CqdVcFXC</t>
  </si>
  <si>
    <t xml:space="preserve">Fièvre</t>
  </si>
  <si>
    <t xml:space="preserve">S5h2ZUkqLD7</t>
  </si>
  <si>
    <t xml:space="preserve">Vaccin reçu : PCV</t>
  </si>
  <si>
    <t xml:space="preserve">sBqrtlW8hGb</t>
  </si>
  <si>
    <t xml:space="preserve">District - Date d'envoi des résultats finaux du laboratoire au ministère de la santé</t>
  </si>
  <si>
    <t xml:space="preserve">Regional - Date d'envoi des résultats finaux du laboratoire au ministère de la santé</t>
  </si>
  <si>
    <t xml:space="preserve">National - Date d'envoi des résultats finaux du laboratoire au ministère de la santé</t>
  </si>
  <si>
    <t xml:space="preserve">sqSuC1ehij1</t>
  </si>
  <si>
    <t xml:space="preserve">District - Numération des globules blancs</t>
  </si>
  <si>
    <t xml:space="preserve">Regional - Numération des globules blancs</t>
  </si>
  <si>
    <t xml:space="preserve">National - Numération des globules blancs</t>
  </si>
  <si>
    <t xml:space="preserve">TTZyNR1cSkI</t>
  </si>
  <si>
    <t xml:space="preserve">District - résultat de l'analyse d'autres antibiotiques</t>
  </si>
  <si>
    <t xml:space="preserve">Regional - résultat de l'analyse d'autres antibiotiques</t>
  </si>
  <si>
    <t xml:space="preserve">National - résultat de l'analyse d'autres antibiotiques</t>
  </si>
  <si>
    <t xml:space="preserve">U6SJ5TnPU84</t>
  </si>
  <si>
    <t xml:space="preserve">Photophobie</t>
  </si>
  <si>
    <t xml:space="preserve">uvyJmb0y5TM</t>
  </si>
  <si>
    <t xml:space="preserve">Date de la vaccination : Vaccin méningococcique polyvalent</t>
  </si>
  <si>
    <t xml:space="preserve">UZJj6L9XCd8</t>
  </si>
  <si>
    <t xml:space="preserve">District - Date d'envoi des résultats finaux du laboratoire au district</t>
  </si>
  <si>
    <t xml:space="preserve">Regional - Date d'envoi des résultats finaux du laboratoire au district</t>
  </si>
  <si>
    <t xml:space="preserve">National - Date d'envoi des résultats finaux du laboratoire au district</t>
  </si>
  <si>
    <t xml:space="preserve">vbRIm76FqPH</t>
  </si>
  <si>
    <t xml:space="preserve">District - Date du PCR</t>
  </si>
  <si>
    <t xml:space="preserve">Regional - Date du PCR</t>
  </si>
  <si>
    <t xml:space="preserve">National - Date du PCR</t>
  </si>
  <si>
    <t xml:space="preserve">VXC7HA1ypLa</t>
  </si>
  <si>
    <t xml:space="preserve">District - Résultat du PCR</t>
  </si>
  <si>
    <t xml:space="preserve">Regional - Résultat du PCR</t>
  </si>
  <si>
    <t xml:space="preserve">National - Résultat du PCR</t>
  </si>
  <si>
    <t xml:space="preserve">VxdyTZMq4fz</t>
  </si>
  <si>
    <t xml:space="preserve">Suivi / niveau laboratoire</t>
  </si>
  <si>
    <t xml:space="preserve">WFrppPdafQl</t>
  </si>
  <si>
    <t xml:space="preserve">District - PN(%)</t>
  </si>
  <si>
    <t xml:space="preserve">Regional - PN(%)</t>
  </si>
  <si>
    <t xml:space="preserve">National - PN(%)</t>
  </si>
  <si>
    <t xml:space="preserve">wGxeDr2tfgp</t>
  </si>
  <si>
    <t xml:space="preserve">Maux de tête</t>
  </si>
  <si>
    <t xml:space="preserve">XlJGFCsUzKt</t>
  </si>
  <si>
    <t xml:space="preserve">Fontanelle bombée</t>
  </si>
  <si>
    <t xml:space="preserve">XOcfBHNE685</t>
  </si>
  <si>
    <t xml:space="preserve">Vaccin reçu : Hib</t>
  </si>
  <si>
    <t xml:space="preserve">yJBRhOz5h8c</t>
  </si>
  <si>
    <t xml:space="preserve">Date à laquelle le cas a été notifié au district</t>
  </si>
  <si>
    <t xml:space="preserve">optionSet</t>
  </si>
  <si>
    <t xml:space="preserve">Niveau</t>
  </si>
  <si>
    <t xml:space="preserve">Initial Field</t>
  </si>
  <si>
    <t xml:space="preserve">Field no prefix</t>
  </si>
  <si>
    <t xml:space="preserve">NMcuA4uVm6I</t>
  </si>
  <si>
    <t xml:space="preserve">WDUwjiW2rGH</t>
  </si>
  <si>
    <t xml:space="preserve">SBC - Date d'apparition des symptômes</t>
  </si>
  <si>
    <t xml:space="preserve">SBC - Date vue dans un centre santé</t>
  </si>
  <si>
    <t xml:space="preserve">UGRaS3Y40qk</t>
  </si>
  <si>
    <t xml:space="preserve">SBC - Patients hospitalisés/non hospitalisés</t>
  </si>
  <si>
    <t xml:space="preserve">L6eMZDJkCwX</t>
  </si>
  <si>
    <t xml:space="preserve">SBC - Echantillon prélevé (O/N)</t>
  </si>
  <si>
    <t xml:space="preserve">jwAZKGa7FDo</t>
  </si>
  <si>
    <t xml:space="preserve">SBC - Vaccin reçu : MenAfriVac</t>
  </si>
  <si>
    <t xml:space="preserve">SBC - Date de la vaccination : MenAfriVac</t>
  </si>
  <si>
    <t xml:space="preserve">SBC - Vaccin reçu : Vaccin méningococcique polyvalent</t>
  </si>
  <si>
    <t xml:space="preserve">SBC - Date de la vaccination : Vaccin méningococcique polyvalent</t>
  </si>
  <si>
    <t xml:space="preserve">SBC - Vaccin reçu : Hib</t>
  </si>
  <si>
    <t xml:space="preserve">SBC - N doses reçues : Hib</t>
  </si>
  <si>
    <t xml:space="preserve">SBC - Date de la vaccination : Hib</t>
  </si>
  <si>
    <t xml:space="preserve">SBC - Vaccin reçu : PCV</t>
  </si>
  <si>
    <t xml:space="preserve">SBC - N doses reçues : PCV</t>
  </si>
  <si>
    <t xml:space="preserve">SBC - Date de la vaccination : PCV</t>
  </si>
  <si>
    <t xml:space="preserve">SBC - Altération de la conscience</t>
  </si>
  <si>
    <t xml:space="preserve">CBS - Raideur du cou</t>
  </si>
  <si>
    <t xml:space="preserve">SBC - Fontanelle bombée</t>
  </si>
  <si>
    <t xml:space="preserve">CBS - Fièvre</t>
  </si>
  <si>
    <t xml:space="preserve">CBS - Maux de tête</t>
  </si>
  <si>
    <t xml:space="preserve">CBS - Nausées</t>
  </si>
  <si>
    <t xml:space="preserve">SBC - Photophobie</t>
  </si>
  <si>
    <t xml:space="preserve">SBC - Autres signes/symptômes, précisez</t>
  </si>
  <si>
    <t xml:space="preserve">SBC - Date à laquelle le cas a été notifié au district</t>
  </si>
  <si>
    <t xml:space="preserve">CBS - Nom du notificateur</t>
  </si>
  <si>
    <t xml:space="preserve">SBC - Téléphone du notificateur</t>
  </si>
  <si>
    <t xml:space="preserve">SBC - Personne qui a terminé l'investigation : Nom</t>
  </si>
  <si>
    <t xml:space="preserve">SBC - Personne qui a terminé l'investigation : Contact</t>
  </si>
  <si>
    <t xml:space="preserve">G0ePNuYPT87</t>
  </si>
  <si>
    <t xml:space="preserve">CBS - ID de l'échantillon</t>
  </si>
  <si>
    <t xml:space="preserve">B1gNT5HwZzd</t>
  </si>
  <si>
    <t xml:space="preserve">CBS - Type d'échantillon</t>
  </si>
  <si>
    <t xml:space="preserve">SBC - Date de prélèvement de l'échantillon</t>
  </si>
  <si>
    <t xml:space="preserve">SBC - Date d'envoi/expedition de l'échantillon au laboratoire</t>
  </si>
  <si>
    <t xml:space="preserve">QqiwhL32Qnx</t>
  </si>
  <si>
    <t xml:space="preserve">SBC - Suivi / niveau laboratoire</t>
  </si>
  <si>
    <t xml:space="preserve">SBC - Date de réception de l'échantillon</t>
  </si>
  <si>
    <t xml:space="preserve">Date de réception de l'échantillon</t>
  </si>
  <si>
    <t xml:space="preserve">SBC - Identification du laboratoire</t>
  </si>
  <si>
    <t xml:space="preserve">Identification du laboratoire</t>
  </si>
  <si>
    <t xml:space="preserve">wwsRUTUADaC</t>
  </si>
  <si>
    <t xml:space="preserve">SBC - Nom du laboratoire</t>
  </si>
  <si>
    <t xml:space="preserve">Nom du laboratoire</t>
  </si>
  <si>
    <t xml:space="preserve">eaMelH0BBBS</t>
  </si>
  <si>
    <t xml:space="preserve">SBC - État de l'échantillon</t>
  </si>
  <si>
    <t xml:space="preserve">État de l'échantillon</t>
  </si>
  <si>
    <t xml:space="preserve">EalirBcrjvI</t>
  </si>
  <si>
    <t xml:space="preserve">SBC - Aspect de l'échantillon / examen macroscopique (LCR)</t>
  </si>
  <si>
    <t xml:space="preserve">Aspect de l'échantillon / examen macroscopique (LCR)</t>
  </si>
  <si>
    <t xml:space="preserve">UzK9tU5jYMZ</t>
  </si>
  <si>
    <t xml:space="preserve">SBC - Résultat de la coloration de Gram</t>
  </si>
  <si>
    <t xml:space="preserve">Résultat de la coloration de Gram</t>
  </si>
  <si>
    <t xml:space="preserve">OHgvEaqgG1h</t>
  </si>
  <si>
    <t xml:space="preserve">SBC - Résultat de l'agglutination du latex</t>
  </si>
  <si>
    <t xml:space="preserve">Résultat de l'agglutination du latex</t>
  </si>
  <si>
    <t xml:space="preserve">SBC - test TDR utilisé (préciser)</t>
  </si>
  <si>
    <t xml:space="preserve">test TDR utilisé (préciser)</t>
  </si>
  <si>
    <t xml:space="preserve">w4ORp8djCqL</t>
  </si>
  <si>
    <t xml:space="preserve">SBC - Résultat du TDR</t>
  </si>
  <si>
    <t xml:space="preserve">Résultat du TDR</t>
  </si>
  <si>
    <t xml:space="preserve">CBS - Résultat de la culture </t>
  </si>
  <si>
    <t xml:space="preserve">Résultat de la culture </t>
  </si>
  <si>
    <t xml:space="preserve">SBC - Numération des globules blancs</t>
  </si>
  <si>
    <t xml:space="preserve">Numération des globules blancs</t>
  </si>
  <si>
    <t xml:space="preserve">SBC - Date du PCR</t>
  </si>
  <si>
    <t xml:space="preserve">Date du PCR</t>
  </si>
  <si>
    <t xml:space="preserve">SBC - Résultat du PCR</t>
  </si>
  <si>
    <t xml:space="preserve">Résultat du PCR</t>
  </si>
  <si>
    <t xml:space="preserve">CBS - Etat frais</t>
  </si>
  <si>
    <t xml:space="preserve">Etat frais</t>
  </si>
  <si>
    <t xml:space="preserve">CBS - LYMPH(%)</t>
  </si>
  <si>
    <t xml:space="preserve">LYMPH(%)</t>
  </si>
  <si>
    <t xml:space="preserve">CBS - PN(%)</t>
  </si>
  <si>
    <t xml:space="preserve">PN(%)</t>
  </si>
  <si>
    <t xml:space="preserve">KwI1lXim3MW</t>
  </si>
  <si>
    <t xml:space="preserve">SBC - Sensibilité à la pénicilline</t>
  </si>
  <si>
    <t xml:space="preserve">SBC - Sensibilité à la ceftriaxone</t>
  </si>
  <si>
    <t xml:space="preserve">Sensibilité à la ceftriaxone</t>
  </si>
  <si>
    <t xml:space="preserve">SBC - Sensibilité à la ciprofloxacine</t>
  </si>
  <si>
    <t xml:space="preserve">Sensibilité à la ciprofloxacine</t>
  </si>
  <si>
    <t xml:space="preserve">SBC - Sensibilité à l'oxacilline</t>
  </si>
  <si>
    <t xml:space="preserve">Sensibilité à l'oxacilline</t>
  </si>
  <si>
    <t xml:space="preserve">SBC - Autres antibiotiques testés</t>
  </si>
  <si>
    <t xml:space="preserve">Autres antibiotiques testés</t>
  </si>
  <si>
    <t xml:space="preserve">SBC - résultat de l'analyse d'autres antibiotiques</t>
  </si>
  <si>
    <t xml:space="preserve">résultat de l'analyse d'autres antibiotiques</t>
  </si>
  <si>
    <t xml:space="preserve">SBC - Autres résultats de tests</t>
  </si>
  <si>
    <t xml:space="preserve">Autres résultats de tests</t>
  </si>
  <si>
    <t xml:space="preserve">eBxOAni5Ft6</t>
  </si>
  <si>
    <t xml:space="preserve">SBC - Résultat final du laboratoire</t>
  </si>
  <si>
    <t xml:space="preserve">Résultat final du laboratoire</t>
  </si>
  <si>
    <t xml:space="preserve">sHYn8fZrgs7</t>
  </si>
  <si>
    <t xml:space="preserve">SBC - sérotype S. pneumoniae</t>
  </si>
  <si>
    <t xml:space="preserve">sérotype S. pneumoniae</t>
  </si>
  <si>
    <t xml:space="preserve">SBC - Date d'envoi des résultats finaux du laboratoire au ministère de la santé</t>
  </si>
  <si>
    <t xml:space="preserve">Date d'envoi des résultats finaux du laboratoire au ministère de la santé</t>
  </si>
  <si>
    <t xml:space="preserve">SBC - Date d'envoi des résultats finaux du laboratoire au district</t>
  </si>
  <si>
    <t xml:space="preserve">Date d'envoi des résultats finaux du laboratoire au district</t>
  </si>
  <si>
    <t xml:space="preserve">Regional</t>
  </si>
  <si>
    <t xml:space="preserve">BLiSlEmoEQH</t>
  </si>
  <si>
    <t xml:space="preserve">x7GiQvkduNw</t>
  </si>
  <si>
    <t xml:space="preserve">SBC - Classification finale</t>
  </si>
  <si>
    <t xml:space="preserve">ZHITou81keO</t>
  </si>
  <si>
    <t xml:space="preserve">SBC - Devenir du patient</t>
  </si>
  <si>
    <t xml:space="preserve">SBC - Devenir - Date</t>
  </si>
  <si>
    <t xml:space="preserve">Disease</t>
  </si>
  <si>
    <t xml:space="preserve">tg3fqjuPkHH</t>
  </si>
  <si>
    <t xml:space="preserve">Abalone Herpes</t>
  </si>
  <si>
    <t xml:space="preserve">ABALONE_HERPES</t>
  </si>
  <si>
    <t xml:space="preserve">UwAcZD55IfP</t>
  </si>
  <si>
    <t xml:space="preserve">Control Measure</t>
  </si>
  <si>
    <t xml:space="preserve">QtlBNbnLxdG</t>
  </si>
  <si>
    <t xml:space="preserve">Vector surveillance</t>
  </si>
  <si>
    <t xml:space="preserve">VECTOR_SURVEILLANCE</t>
  </si>
  <si>
    <t xml:space="preserve">g0G6Dbsx5nB</t>
  </si>
  <si>
    <t xml:space="preserve">Zoning</t>
  </si>
  <si>
    <t xml:space="preserve">ZONING</t>
  </si>
  <si>
    <t xml:space="preserve">VfHVv5ZD73O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</si>
  <si>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</si>
  <si>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HwSwRBG2Cpp</t>
  </si>
  <si>
    <t xml:space="preserve">Hi+Nm</t>
  </si>
  <si>
    <t xml:space="preserve">A2DK3hiUDxr</t>
  </si>
  <si>
    <t xml:space="preserve">Confirmed rubella by lab</t>
  </si>
  <si>
    <t xml:space="preserve">CR</t>
  </si>
  <si>
    <t xml:space="preserve">a2Yv4qpjCcA</t>
  </si>
  <si>
    <t xml:space="preserve">lGuhEqTT3jU</t>
  </si>
  <si>
    <t xml:space="preserve">Suspected septicaemia</t>
  </si>
  <si>
    <t xml:space="preserve">SS</t>
  </si>
  <si>
    <t xml:space="preserve">a2ZW0EWI4U0</t>
  </si>
  <si>
    <t xml:space="preserve">zMCLYCkfLPu</t>
  </si>
  <si>
    <t xml:space="preserve">-20 Degrees freezer</t>
  </si>
  <si>
    <t xml:space="preserve">(-20 Degrees freezer)</t>
  </si>
  <si>
    <t xml:space="preserve">A3kupijmXZA</t>
  </si>
  <si>
    <t xml:space="preserve">ZJclgdesFio</t>
  </si>
  <si>
    <t xml:space="preserve">A8HHcjNFAaF</t>
  </si>
  <si>
    <t xml:space="preserve">omOhi3bZQac</t>
  </si>
  <si>
    <t xml:space="preserve">Primary</t>
  </si>
  <si>
    <t xml:space="preserve">P</t>
  </si>
  <si>
    <t xml:space="preserve">aakDyGcFNwx</t>
  </si>
  <si>
    <t xml:space="preserve">Confirmed Meningitis</t>
  </si>
  <si>
    <t xml:space="preserve">CMEN</t>
  </si>
  <si>
    <t xml:space="preserve">AbmVJ4IY9lv</t>
  </si>
  <si>
    <t xml:space="preserve">EUHTH2BvMzO</t>
  </si>
  <si>
    <t xml:space="preserve">Invalid</t>
  </si>
  <si>
    <t xml:space="preserve">abYRSAhjmqp</t>
  </si>
  <si>
    <t xml:space="preserve">LrneYsPjbbn</t>
  </si>
  <si>
    <t xml:space="preserve">PV3 NonSabin-like</t>
  </si>
  <si>
    <t xml:space="preserve">AdAUCLNoUh8</t>
  </si>
  <si>
    <t xml:space="preserve">sTWEbIbZUr0</t>
  </si>
  <si>
    <t xml:space="preserve">AdSnG8v079a</t>
  </si>
  <si>
    <t xml:space="preserve">KPIgrw9vFHF</t>
  </si>
  <si>
    <t xml:space="preserve">None</t>
  </si>
  <si>
    <t xml:space="preserve">ahwk3Ci79lN</t>
  </si>
  <si>
    <t xml:space="preserve">UjylMjMKDCO</t>
  </si>
  <si>
    <t xml:space="preserve">NPEV</t>
  </si>
  <si>
    <t xml:space="preserve">aI48blbEp3p</t>
  </si>
  <si>
    <t xml:space="preserve">LyuEO9k47R6</t>
  </si>
  <si>
    <t xml:space="preserve">10-100</t>
  </si>
  <si>
    <t xml:space="preserve">AJICspXuWJW</t>
  </si>
  <si>
    <t xml:space="preserve">CLxOMBHi3h7</t>
  </si>
  <si>
    <t xml:space="preserve">ASC</t>
  </si>
  <si>
    <t xml:space="preserve">AjKGtqZkAAh</t>
  </si>
  <si>
    <t xml:space="preserve">Suspect</t>
  </si>
  <si>
    <t xml:space="preserve">aKnelFoLVDP</t>
  </si>
  <si>
    <t xml:space="preserve">c4hAwPcnLWO</t>
  </si>
  <si>
    <t xml:space="preserve">Ward</t>
  </si>
  <si>
    <t xml:space="preserve">AKsT5QlaGvk</t>
  </si>
  <si>
    <t xml:space="preserve">rfQoKp0wiuG</t>
  </si>
  <si>
    <t xml:space="preserve">Inadequate index AFP case</t>
  </si>
  <si>
    <t xml:space="preserve">aLriKRMiXvl</t>
  </si>
  <si>
    <t xml:space="preserve">TI</t>
  </si>
  <si>
    <t xml:space="preserve">slaJVBOIkVS</t>
  </si>
  <si>
    <t xml:space="preserve">Gram negative</t>
  </si>
  <si>
    <t xml:space="preserve">AqgBKpOesDo</t>
  </si>
  <si>
    <t xml:space="preserve">CNergQ2XwX8</t>
  </si>
  <si>
    <t xml:space="preserve">Exclusive breastfeeding</t>
  </si>
  <si>
    <t xml:space="preserve">AssoTxNG39I</t>
  </si>
  <si>
    <t xml:space="preserve">cvrVhS1BZ4I</t>
  </si>
  <si>
    <t xml:space="preserve">1E</t>
  </si>
  <si>
    <t xml:space="preserve">aUBwlmW4SXY</t>
  </si>
  <si>
    <t xml:space="preserve">Pending</t>
  </si>
  <si>
    <t xml:space="preserve">aWO1LTFcWUc</t>
  </si>
  <si>
    <t xml:space="preserve">VknUbs269ju</t>
  </si>
  <si>
    <t xml:space="preserve">Not Required</t>
  </si>
  <si>
    <t xml:space="preserve">AZ7FfPLGdF1</t>
  </si>
  <si>
    <t xml:space="preserve">yqLKXWu38er</t>
  </si>
  <si>
    <t xml:space="preserve">Co-habitation</t>
  </si>
  <si>
    <t xml:space="preserve">b1rJ9yCCFTU</t>
  </si>
  <si>
    <t xml:space="preserve">jI0hOmUIEmF</t>
  </si>
  <si>
    <t xml:space="preserve">Positive Hib</t>
  </si>
  <si>
    <t xml:space="preserve">bAJAQ0U8Xxh</t>
  </si>
  <si>
    <t xml:space="preserve">WtONuaMr2V8</t>
  </si>
  <si>
    <t xml:space="preserve">Other (specify)</t>
  </si>
  <si>
    <t xml:space="preserve">bfEUeo8VdGh</t>
  </si>
  <si>
    <t xml:space="preserve">RA27/3-vaccine strain</t>
  </si>
  <si>
    <t xml:space="preserve">BIF4vVAukA2</t>
  </si>
  <si>
    <t xml:space="preserve">bf4blDck7Mo</t>
  </si>
  <si>
    <t xml:space="preserve">11-Y/W</t>
  </si>
  <si>
    <t xml:space="preserve">Y/W</t>
  </si>
  <si>
    <t xml:space="preserve">bl7YOsOVDI0</t>
  </si>
  <si>
    <t xml:space="preserve">AcIsZWT4zdi</t>
  </si>
  <si>
    <t xml:space="preserve">Binax</t>
  </si>
  <si>
    <t xml:space="preserve">BmOUdTOPBwG</t>
  </si>
  <si>
    <t xml:space="preserve">Biochemical identification</t>
  </si>
  <si>
    <t xml:space="preserve">Bio</t>
  </si>
  <si>
    <t xml:space="preserve">bPGhgNUfrkt</t>
  </si>
  <si>
    <t xml:space="preserve">PV1 SL</t>
  </si>
  <si>
    <t xml:space="preserve">BsHHLgd1MPf</t>
  </si>
  <si>
    <t xml:space="preserve">qh41p4G1g0G</t>
  </si>
  <si>
    <t xml:space="preserve">Household relative</t>
  </si>
  <si>
    <t xml:space="preserve">BUiMl3qNb9r</t>
  </si>
  <si>
    <t xml:space="preserve">pldzDqPMQsd</t>
  </si>
  <si>
    <t xml:space="preserve">NPENT</t>
  </si>
  <si>
    <t xml:space="preserve">BXhm92XlyE4</t>
  </si>
  <si>
    <t xml:space="preserve">BzfNw6hAbsg</t>
  </si>
  <si>
    <t xml:space="preserve">LJfPj1oVhpe</t>
  </si>
  <si>
    <t xml:space="preserve">bznMeyWKXyQ</t>
  </si>
  <si>
    <t xml:space="preserve">PV2 NSL</t>
  </si>
  <si>
    <t xml:space="preserve">C02DYu0V3V7</t>
  </si>
  <si>
    <t xml:space="preserve">NegativePCR</t>
  </si>
  <si>
    <t xml:space="preserve">Severe</t>
  </si>
  <si>
    <t xml:space="preserve">c96yflCNhwA</t>
  </si>
  <si>
    <t xml:space="preserve">Neighbour</t>
  </si>
  <si>
    <t xml:space="preserve">C9rOn1jaSyS</t>
  </si>
  <si>
    <t xml:space="preserve">3-Y</t>
  </si>
  <si>
    <t xml:space="preserve">Y</t>
  </si>
  <si>
    <t xml:space="preserve">cCglzaaVDsB</t>
  </si>
  <si>
    <t xml:space="preserve">PV2</t>
  </si>
  <si>
    <t xml:space="preserve">cFzg3ZamSrw</t>
  </si>
  <si>
    <t xml:space="preserve">7C/7B/41</t>
  </si>
  <si>
    <t xml:space="preserve">MenAfriVac (Conjugate MenA)</t>
  </si>
  <si>
    <t xml:space="preserve">CMiGt2IEPF2</t>
  </si>
  <si>
    <t xml:space="preserve">2-C</t>
  </si>
  <si>
    <t xml:space="preserve">C</t>
  </si>
  <si>
    <t xml:space="preserve">CO2kw4UbVCi</t>
  </si>
  <si>
    <t xml:space="preserve">7-B/E.Coli K1</t>
  </si>
  <si>
    <t xml:space="preserve">B/EColi K1</t>
  </si>
  <si>
    <t xml:space="preserve">cOg0NJTvEa5</t>
  </si>
  <si>
    <t xml:space="preserve">GFwWff285IB</t>
  </si>
  <si>
    <t xml:space="preserve">CPTebZTIYRx</t>
  </si>
  <si>
    <t xml:space="preserve">Confirmed WPV</t>
  </si>
  <si>
    <t xml:space="preserve">CWPV</t>
  </si>
  <si>
    <t xml:space="preserve">cSscDvj8cVQ</t>
  </si>
  <si>
    <t xml:space="preserve">BdD4DX69BEn</t>
  </si>
  <si>
    <t xml:space="preserve">Positif Grippe A</t>
  </si>
  <si>
    <t xml:space="preserve">GrippeA</t>
  </si>
  <si>
    <t xml:space="preserve">CsXjbxuf357</t>
  </si>
  <si>
    <t xml:space="preserve">WVFnOWWz9Tt</t>
  </si>
  <si>
    <t xml:space="preserve">PV1 Sabin-like</t>
  </si>
  <si>
    <t xml:space="preserve">cTBotH0CP3Z</t>
  </si>
  <si>
    <t xml:space="preserve">PilmOtK89We</t>
  </si>
  <si>
    <t xml:space="preserve">Suspected Poliovirus</t>
  </si>
  <si>
    <t xml:space="preserve">SP</t>
  </si>
  <si>
    <t xml:space="preserve">CVtRDQT7fPR</t>
  </si>
  <si>
    <t xml:space="preserve">nmj0fFDb8Xn</t>
  </si>
  <si>
    <t xml:space="preserve">Salmonella typhi</t>
  </si>
  <si>
    <t xml:space="preserve">cWgkO3EajIi</t>
  </si>
  <si>
    <t xml:space="preserve">ND</t>
  </si>
  <si>
    <t xml:space="preserve">sM7ouPBx3rt</t>
  </si>
  <si>
    <t xml:space="preserve">Pneumoniae</t>
  </si>
  <si>
    <t xml:space="preserve">cx87KePCMBS</t>
  </si>
  <si>
    <t xml:space="preserve">jtUYIJ1a160</t>
  </si>
  <si>
    <t xml:space="preserve">Lethargic, unconscious</t>
  </si>
  <si>
    <t xml:space="preserve">Lethargic unconscious</t>
  </si>
  <si>
    <t xml:space="preserve">cXdC55pXcuf</t>
  </si>
  <si>
    <t xml:space="preserve">ACYW135 (Conjugate)</t>
  </si>
  <si>
    <t xml:space="preserve">cYi09NhqLXW</t>
  </si>
  <si>
    <t xml:space="preserve">mlfXWNJ16dz</t>
  </si>
  <si>
    <t xml:space="preserve">D4</t>
  </si>
  <si>
    <t xml:space="preserve">cZtRB5sq6ge</t>
  </si>
  <si>
    <t xml:space="preserve">Spn+Nm</t>
  </si>
  <si>
    <t xml:space="preserve">DAeXDBbSEyO</t>
  </si>
  <si>
    <t xml:space="preserve">Positif Grippe B</t>
  </si>
  <si>
    <t xml:space="preserve">GrippeB</t>
  </si>
  <si>
    <t xml:space="preserve">DEauk0FJvqZ</t>
  </si>
  <si>
    <t xml:space="preserve">hslkJy08Z3k</t>
  </si>
  <si>
    <t xml:space="preserve">f</t>
  </si>
  <si>
    <t xml:space="preserve">dFGXLtnQSld</t>
  </si>
  <si>
    <t xml:space="preserve">Y45PTWb5qff</t>
  </si>
  <si>
    <t xml:space="preserve">Father</t>
  </si>
  <si>
    <t xml:space="preserve">dGFkhrBc8rw</t>
  </si>
  <si>
    <t xml:space="preserve">GiJwBxXIR3W</t>
  </si>
  <si>
    <t xml:space="preserve">Leg</t>
  </si>
  <si>
    <t xml:space="preserve">dijvA3exQLj</t>
  </si>
  <si>
    <t xml:space="preserve">nu7p5T4Mx1w</t>
  </si>
  <si>
    <t xml:space="preserve">Not vaccinated</t>
  </si>
  <si>
    <t xml:space="preserve">Not</t>
  </si>
  <si>
    <t xml:space="preserve">dixdZIcb9i7</t>
  </si>
  <si>
    <t xml:space="preserve">dJwJj2zUwoO</t>
  </si>
  <si>
    <t xml:space="preserve">NotAFP</t>
  </si>
  <si>
    <t xml:space="preserve">ACW135 (Polysaccaride)</t>
  </si>
  <si>
    <t xml:space="preserve">DNP7KgV0G6N</t>
  </si>
  <si>
    <t xml:space="preserve">Lyplh3LMEkF</t>
  </si>
  <si>
    <t xml:space="preserve">Type 2</t>
  </si>
  <si>
    <t xml:space="preserve">T2</t>
  </si>
  <si>
    <t xml:space="preserve">dRGhLTXgZ1B</t>
  </si>
  <si>
    <t xml:space="preserve">DJOdop7KgXj</t>
  </si>
  <si>
    <t xml:space="preserve">3-Other</t>
  </si>
  <si>
    <t xml:space="preserve">dvGAHr48GRI</t>
  </si>
  <si>
    <t xml:space="preserve">Thigh</t>
  </si>
  <si>
    <t xml:space="preserve">DvnmplbikZQ</t>
  </si>
  <si>
    <t xml:space="preserve">&lt;10</t>
  </si>
  <si>
    <t xml:space="preserve">E2b2Az0DGC5</t>
  </si>
  <si>
    <t xml:space="preserve">Discarded - IgM negative for both measles &amp; rubella</t>
  </si>
  <si>
    <t xml:space="preserve">DI</t>
  </si>
  <si>
    <t xml:space="preserve">E2x6MIgZmkM</t>
  </si>
  <si>
    <t xml:space="preserve">14-Non-groupable by SASG</t>
  </si>
  <si>
    <t xml:space="preserve">Non-groupable by SASG</t>
  </si>
  <si>
    <t xml:space="preserve">E3dFIFWlYQs</t>
  </si>
  <si>
    <t xml:space="preserve">traitement</t>
  </si>
  <si>
    <t xml:space="preserve">Inconclusive</t>
  </si>
  <si>
    <t xml:space="preserve">Ea0T762oMR1</t>
  </si>
  <si>
    <t xml:space="preserve">Rotavirus confirmed</t>
  </si>
  <si>
    <t xml:space="preserve">Rotavirus</t>
  </si>
  <si>
    <t xml:space="preserve">eA6rupvYUpU</t>
  </si>
  <si>
    <t xml:space="preserve">eZgPfa88uNG</t>
  </si>
  <si>
    <t xml:space="preserve">PV3 Sabin-Like</t>
  </si>
  <si>
    <t xml:space="preserve">EbYnOz5WCLK</t>
  </si>
  <si>
    <t xml:space="preserve">Fore arm</t>
  </si>
  <si>
    <t xml:space="preserve">EcD2E728HBN</t>
  </si>
  <si>
    <t xml:space="preserve">tvHbh6vNKQC</t>
  </si>
  <si>
    <t xml:space="preserve">eeK8WVL2SAH</t>
  </si>
  <si>
    <t xml:space="preserve">PV1 Discordant</t>
  </si>
  <si>
    <t xml:space="preserve">EfLSDRQSlra</t>
  </si>
  <si>
    <t xml:space="preserve">Clinically confirmed CRS</t>
  </si>
  <si>
    <t xml:space="preserve">ClinicallyCRS</t>
  </si>
  <si>
    <t xml:space="preserve">eFn8q1qxkf7</t>
  </si>
  <si>
    <t xml:space="preserve">EJxyVYwSiEM</t>
  </si>
  <si>
    <t xml:space="preserve">Shigella - dysenteriae type1</t>
  </si>
  <si>
    <t xml:space="preserve">EnwVlhcFP8D</t>
  </si>
  <si>
    <t xml:space="preserve">NotDone</t>
  </si>
  <si>
    <t xml:space="preserve">PV3 SL</t>
  </si>
  <si>
    <t xml:space="preserve">ErcybQvi80I</t>
  </si>
  <si>
    <t xml:space="preserve">Positive Nm A</t>
  </si>
  <si>
    <t xml:space="preserve">EspkQOlf6LW</t>
  </si>
  <si>
    <t xml:space="preserve">Incomplete</t>
  </si>
  <si>
    <t xml:space="preserve">etpkV0wqbQQ</t>
  </si>
  <si>
    <t xml:space="preserve">O</t>
  </si>
  <si>
    <t xml:space="preserve">F5Zcz5iMBBb</t>
  </si>
  <si>
    <t xml:space="preserve">SmahTeICHlF</t>
  </si>
  <si>
    <t xml:space="preserve">Mixed</t>
  </si>
  <si>
    <t xml:space="preserve">fAsgeLtlhic</t>
  </si>
  <si>
    <t xml:space="preserve">ACYW135 (Polysaccaride)</t>
  </si>
  <si>
    <t xml:space="preserve">FAvIxftiT3h</t>
  </si>
  <si>
    <t xml:space="preserve">A-vaccine strain</t>
  </si>
  <si>
    <t xml:space="preserve">fd5kXerfryh</t>
  </si>
  <si>
    <t xml:space="preserve">Nmfba979Tzz</t>
  </si>
  <si>
    <t xml:space="preserve">FEdLGnW2nUk</t>
  </si>
  <si>
    <t xml:space="preserve">PV3 Sabin-like</t>
  </si>
  <si>
    <t xml:space="preserve">FnsVOaML1EM</t>
  </si>
  <si>
    <t xml:space="preserve">yedqDUUiHGU</t>
  </si>
  <si>
    <t xml:space="preserve">T</t>
  </si>
  <si>
    <t xml:space="preserve">FpIhfRyeZ7J</t>
  </si>
  <si>
    <t xml:space="preserve">RCrmE3oAp7F</t>
  </si>
  <si>
    <t xml:space="preserve">AH1pdm09</t>
  </si>
  <si>
    <t xml:space="preserve">FvyUfaoCqsn</t>
  </si>
  <si>
    <t xml:space="preserve">Pleural</t>
  </si>
  <si>
    <t xml:space="preserve">g83UlHaF51o</t>
  </si>
  <si>
    <t xml:space="preserve">Confirmed measles by epi linkage</t>
  </si>
  <si>
    <t xml:space="preserve">CE</t>
  </si>
  <si>
    <t xml:space="preserve">ggwuNatZSDx</t>
  </si>
  <si>
    <t xml:space="preserve">ggXHn5aqUaq</t>
  </si>
  <si>
    <t xml:space="preserve">Other specify</t>
  </si>
  <si>
    <t xml:space="preserve">GIuwikoWIjA</t>
  </si>
  <si>
    <t xml:space="preserve">Frère/Soeur</t>
  </si>
  <si>
    <t xml:space="preserve">FS</t>
  </si>
  <si>
    <t xml:space="preserve">GLDCL6o6Ox6</t>
  </si>
  <si>
    <t xml:space="preserve">jgorbAdbQB5</t>
  </si>
  <si>
    <t xml:space="preserve">Shared tap</t>
  </si>
  <si>
    <t xml:space="preserve">gPf2fBK8p0f</t>
  </si>
  <si>
    <t xml:space="preserve">CO</t>
  </si>
  <si>
    <t xml:space="preserve">gV8FlriM3zb</t>
  </si>
  <si>
    <t xml:space="preserve">Out of household relative</t>
  </si>
  <si>
    <t xml:space="preserve">Gx5KnWCG5Xz</t>
  </si>
  <si>
    <t xml:space="preserve">P[4]</t>
  </si>
  <si>
    <t xml:space="preserve">gYACI6feYty</t>
  </si>
  <si>
    <t xml:space="preserve">Index AFP Hot case</t>
  </si>
  <si>
    <t xml:space="preserve">gZua7xgTQuC</t>
  </si>
  <si>
    <t xml:space="preserve">H</t>
  </si>
  <si>
    <t xml:space="preserve">h68wI3V5mNl</t>
  </si>
  <si>
    <t xml:space="preserve">PV1 NonSabin-like</t>
  </si>
  <si>
    <t xml:space="preserve">H9BkdA6um0E</t>
  </si>
  <si>
    <t xml:space="preserve">bdFPClCG8Ta</t>
  </si>
  <si>
    <t xml:space="preserve">Dans les 2 semaines après début paralysies</t>
  </si>
  <si>
    <t xml:space="preserve">Apres</t>
  </si>
  <si>
    <t xml:space="preserve">hapaxuFnaDC</t>
  </si>
  <si>
    <t xml:space="preserve">WNile</t>
  </si>
  <si>
    <t xml:space="preserve">Non PCV</t>
  </si>
  <si>
    <t xml:space="preserve">D8</t>
  </si>
  <si>
    <t xml:space="preserve">hdGjJeUhoah</t>
  </si>
  <si>
    <t xml:space="preserve">Regional Noguchi</t>
  </si>
  <si>
    <t xml:space="preserve">Household tap</t>
  </si>
  <si>
    <t xml:space="preserve">HeoKzQn6YH2</t>
  </si>
  <si>
    <t xml:space="preserve">Spn NT</t>
  </si>
  <si>
    <t xml:space="preserve">Dans les 7 jours avant début des paralysies</t>
  </si>
  <si>
    <t xml:space="preserve">Avant</t>
  </si>
  <si>
    <t xml:space="preserve">hlOi8BNSv4t</t>
  </si>
  <si>
    <t xml:space="preserve">6-B</t>
  </si>
  <si>
    <t xml:space="preserve">B</t>
  </si>
  <si>
    <t xml:space="preserve">HnA5Dl924L8</t>
  </si>
  <si>
    <t xml:space="preserve">YF</t>
  </si>
  <si>
    <t xml:space="preserve">G3</t>
  </si>
  <si>
    <t xml:space="preserve">hPLbWtpgUtl</t>
  </si>
  <si>
    <t xml:space="preserve">Other/non-specified</t>
  </si>
  <si>
    <t xml:space="preserve">HRdu6tFM6t3</t>
  </si>
  <si>
    <t xml:space="preserve">hRHpuCbRIzB</t>
  </si>
  <si>
    <t xml:space="preserve">25F/25A/39</t>
  </si>
  <si>
    <t xml:space="preserve">Divorced</t>
  </si>
  <si>
    <t xml:space="preserve">HyXym30kGQp</t>
  </si>
  <si>
    <t xml:space="preserve">35A/35C/43</t>
  </si>
  <si>
    <t xml:space="preserve">G12</t>
  </si>
  <si>
    <t xml:space="preserve">I44euSmrzXD</t>
  </si>
  <si>
    <t xml:space="preserve">Married</t>
  </si>
  <si>
    <t xml:space="preserve">iAq6hGbwiHu</t>
  </si>
  <si>
    <t xml:space="preserve">P[6]</t>
  </si>
  <si>
    <t xml:space="preserve">IfPu7DPM3fp</t>
  </si>
  <si>
    <t xml:space="preserve">Gardian</t>
  </si>
  <si>
    <t xml:space="preserve">igKjksHR28L</t>
  </si>
  <si>
    <t xml:space="preserve">ii7rUHfowCS</t>
  </si>
  <si>
    <t xml:space="preserve">Confirmed NT</t>
  </si>
  <si>
    <t xml:space="preserve">CNT</t>
  </si>
  <si>
    <t xml:space="preserve">inLKBVrSvvU</t>
  </si>
  <si>
    <t xml:space="preserve">TCkMi6KIewV</t>
  </si>
  <si>
    <t xml:space="preserve">IOlWch42XcK</t>
  </si>
  <si>
    <t xml:space="preserve">RdSEF1uUoq8</t>
  </si>
  <si>
    <t xml:space="preserve">PCV13</t>
  </si>
  <si>
    <t xml:space="preserve">ipYqWpW7uLx</t>
  </si>
  <si>
    <t xml:space="preserve">iQ8LVlRl0rS</t>
  </si>
  <si>
    <t xml:space="preserve">gU3ugoeTvsx</t>
  </si>
  <si>
    <t xml:space="preserve">ir3I3EmTG09</t>
  </si>
  <si>
    <t xml:space="preserve">IruYLuE0Rnx</t>
  </si>
  <si>
    <t xml:space="preserve">IvenOkmHTDZ</t>
  </si>
  <si>
    <t xml:space="preserve">L20B Positive + NPENT</t>
  </si>
  <si>
    <t xml:space="preserve">LPN</t>
  </si>
  <si>
    <t xml:space="preserve">IVtgy42pCbq</t>
  </si>
  <si>
    <t xml:space="preserve">e</t>
  </si>
  <si>
    <t xml:space="preserve">IYcCBbq448W</t>
  </si>
  <si>
    <t xml:space="preserve">U</t>
  </si>
  <si>
    <t xml:space="preserve">iYo246UNtiL</t>
  </si>
  <si>
    <t xml:space="preserve">1-Rotarix</t>
  </si>
  <si>
    <t xml:space="preserve">Rotarix</t>
  </si>
  <si>
    <t xml:space="preserve">izVxKKhINhr</t>
  </si>
  <si>
    <t xml:space="preserve">H1</t>
  </si>
  <si>
    <t xml:space="preserve">J397Tl6Hqu9</t>
  </si>
  <si>
    <t xml:space="preserve">NakQVuBTntb</t>
  </si>
  <si>
    <t xml:space="preserve">Negative Yellow fever</t>
  </si>
  <si>
    <t xml:space="preserve">NegativeYF</t>
  </si>
  <si>
    <t xml:space="preserve">j6vJGYbD3jR</t>
  </si>
  <si>
    <t xml:space="preserve">PV2 Sabin-like</t>
  </si>
  <si>
    <t xml:space="preserve">j91df3LLqnd</t>
  </si>
  <si>
    <t xml:space="preserve">JdD2JHAmsUv</t>
  </si>
  <si>
    <t xml:space="preserve">AH7N9</t>
  </si>
  <si>
    <t xml:space="preserve">JF5QXE3gxsI</t>
  </si>
  <si>
    <t xml:space="preserve">1J</t>
  </si>
  <si>
    <t xml:space="preserve">jfFFbfWAh9K</t>
  </si>
  <si>
    <t xml:space="preserve">A non sous-typable</t>
  </si>
  <si>
    <t xml:space="preserve">sous-typable</t>
  </si>
  <si>
    <t xml:space="preserve">JFSySaw276v</t>
  </si>
  <si>
    <t xml:space="preserve">Measles</t>
  </si>
  <si>
    <t xml:space="preserve">P[8]</t>
  </si>
  <si>
    <t xml:space="preserve">JkM6LrfgHJz</t>
  </si>
  <si>
    <t xml:space="preserve">PCV10</t>
  </si>
  <si>
    <t xml:space="preserve">jKX5h9oCoT9</t>
  </si>
  <si>
    <t xml:space="preserve">a</t>
  </si>
  <si>
    <t xml:space="preserve">JNJatCT7O5z</t>
  </si>
  <si>
    <t xml:space="preserve">GingivalFluid</t>
  </si>
  <si>
    <t xml:space="preserve">1-A</t>
  </si>
  <si>
    <t xml:space="preserve">A</t>
  </si>
  <si>
    <t xml:space="preserve">jRJ6DoG1xoT</t>
  </si>
  <si>
    <t xml:space="preserve">Compatible/ clinical rubella</t>
  </si>
  <si>
    <t xml:space="preserve">CCR</t>
  </si>
  <si>
    <t xml:space="preserve">jtrT0txCxUs</t>
  </si>
  <si>
    <t xml:space="preserve">Environnemental</t>
  </si>
  <si>
    <t xml:space="preserve">Nasopharyngé</t>
  </si>
  <si>
    <t xml:space="preserve">Confirmed measles by lab</t>
  </si>
  <si>
    <t xml:space="preserve">CM</t>
  </si>
  <si>
    <t xml:space="preserve">JyWpfQaeAQE</t>
  </si>
  <si>
    <t xml:space="preserve">ueI1QrNZWq4</t>
  </si>
  <si>
    <t xml:space="preserve">k1hEkb5RxtJ</t>
  </si>
  <si>
    <t xml:space="preserve">No schooling</t>
  </si>
  <si>
    <t xml:space="preserve">NS</t>
  </si>
  <si>
    <t xml:space="preserve">K6U8AtOwVlT</t>
  </si>
  <si>
    <t xml:space="preserve">Mère</t>
  </si>
  <si>
    <t xml:space="preserve">K7JTlrjDToO</t>
  </si>
  <si>
    <t xml:space="preserve">Rubella Confirmed by epi linkage</t>
  </si>
  <si>
    <t xml:space="preserve">RCE</t>
  </si>
  <si>
    <t xml:space="preserve">KAJbn3XB1do</t>
  </si>
  <si>
    <t xml:space="preserve">Rongeurs</t>
  </si>
  <si>
    <t xml:space="preserve">kEG4qlU2mIe</t>
  </si>
  <si>
    <t xml:space="preserve">1-WEAF/B</t>
  </si>
  <si>
    <t xml:space="preserve">WEAF/B</t>
  </si>
  <si>
    <t xml:space="preserve">kInVlB6FAlf</t>
  </si>
  <si>
    <t xml:space="preserve">Mixed (specify)</t>
  </si>
  <si>
    <t xml:space="preserve">Kj01FTO59QZ</t>
  </si>
  <si>
    <t xml:space="preserve">Other enteric bacteria</t>
  </si>
  <si>
    <t xml:space="preserve">kkye7QzhjfG</t>
  </si>
  <si>
    <t xml:space="preserve">kNEdzSLGWxX</t>
  </si>
  <si>
    <t xml:space="preserve">Lab-confirmed for Nm</t>
  </si>
  <si>
    <t xml:space="preserve">LCN</t>
  </si>
  <si>
    <t xml:space="preserve">KoSlBcDsAq0</t>
  </si>
  <si>
    <t xml:space="preserve">OsMEc8XYQJW</t>
  </si>
  <si>
    <t xml:space="preserve">PCR</t>
  </si>
  <si>
    <t xml:space="preserve">KOy9LWEyRa5</t>
  </si>
  <si>
    <t xml:space="preserve">Positive N.Meningitidis</t>
  </si>
  <si>
    <t xml:space="preserve">Positive NMeningitidis</t>
  </si>
  <si>
    <t xml:space="preserve">KPDbArRE0tO</t>
  </si>
  <si>
    <t xml:space="preserve">Agitated, irritable</t>
  </si>
  <si>
    <t xml:space="preserve">Agitated irritable</t>
  </si>
  <si>
    <t xml:space="preserve">krE4bq1ZowP</t>
  </si>
  <si>
    <t xml:space="preserve">D2nDOyAt047</t>
  </si>
  <si>
    <t xml:space="preserve">B Yamagata</t>
  </si>
  <si>
    <t xml:space="preserve">Yamagata</t>
  </si>
  <si>
    <t xml:space="preserve">Ks5VYYJ3JWy</t>
  </si>
  <si>
    <t xml:space="preserve">Wgr1kRMrPMu</t>
  </si>
  <si>
    <t xml:space="preserve">Residual Spastic paralysis</t>
  </si>
  <si>
    <t xml:space="preserve">KtG33RVjSZK</t>
  </si>
  <si>
    <t xml:space="preserve">G-Non typable</t>
  </si>
  <si>
    <t xml:space="preserve">KTwTKb8UFOu</t>
  </si>
  <si>
    <t xml:space="preserve">tDQV97BqtOn</t>
  </si>
  <si>
    <t xml:space="preserve">up-to-date</t>
  </si>
  <si>
    <t xml:space="preserve">kuZiF6L0sMY</t>
  </si>
  <si>
    <t xml:space="preserve">12F/12A/12B/44/47</t>
  </si>
  <si>
    <t xml:space="preserve">Cryotube</t>
  </si>
  <si>
    <t xml:space="preserve">KxAV0lRHpV2</t>
  </si>
  <si>
    <t xml:space="preserve">Diverse food</t>
  </si>
  <si>
    <t xml:space="preserve">KxGlmMqXhHB</t>
  </si>
  <si>
    <t xml:space="preserve">Investigated</t>
  </si>
  <si>
    <t xml:space="preserve">KXvZmlYnCge</t>
  </si>
  <si>
    <t xml:space="preserve">a8D2Fq2EYEP</t>
  </si>
  <si>
    <t xml:space="preserve">kYUDV9aL8C1</t>
  </si>
  <si>
    <t xml:space="preserve">2-Rotateq</t>
  </si>
  <si>
    <t xml:space="preserve">Rotateq</t>
  </si>
  <si>
    <t xml:space="preserve">kyVHE78LvGT</t>
  </si>
  <si>
    <t xml:space="preserve">Emergency service</t>
  </si>
  <si>
    <t xml:space="preserve">l0guxMNNPsm</t>
  </si>
  <si>
    <t xml:space="preserve">NM</t>
  </si>
  <si>
    <t xml:space="preserve">Nasopharyngeal</t>
  </si>
  <si>
    <t xml:space="preserve">B Victoria</t>
  </si>
  <si>
    <t xml:space="preserve">Victoria</t>
  </si>
  <si>
    <t xml:space="preserve">LKXXxXIgDTN</t>
  </si>
  <si>
    <t xml:space="preserve">LqiIDyUcycJ</t>
  </si>
  <si>
    <t xml:space="preserve">ProSpecT</t>
  </si>
  <si>
    <t xml:space="preserve">lQyQXJ5BdOn</t>
  </si>
  <si>
    <t xml:space="preserve">Suspected Poliovirus + NPENT</t>
  </si>
  <si>
    <t xml:space="preserve">SPN</t>
  </si>
  <si>
    <t xml:space="preserve">LsDnKVvq8l5</t>
  </si>
  <si>
    <t xml:space="preserve">LTcxqIGHnHB</t>
  </si>
  <si>
    <t xml:space="preserve">lTjOqujLXSq</t>
  </si>
  <si>
    <t xml:space="preserve">Lab-confirmed for Spn</t>
  </si>
  <si>
    <t xml:space="preserve">LCS</t>
  </si>
  <si>
    <t xml:space="preserve">lTldpS1amS6</t>
  </si>
  <si>
    <t xml:space="preserve">L20B Positive</t>
  </si>
  <si>
    <t xml:space="preserve">LP</t>
  </si>
  <si>
    <t xml:space="preserve">lUJwbGI9ErU</t>
  </si>
  <si>
    <t xml:space="preserve">Père</t>
  </si>
  <si>
    <t xml:space="preserve">lX7jZHNkYBq</t>
  </si>
  <si>
    <t xml:space="preserve">hUzTasbJGYE</t>
  </si>
  <si>
    <t xml:space="preserve">m0A3hYyotIH</t>
  </si>
  <si>
    <t xml:space="preserve">m1YdcHUa2iL</t>
  </si>
  <si>
    <t xml:space="preserve">N2nXZLDsklW</t>
  </si>
  <si>
    <t xml:space="preserve">m7on1botcHZ</t>
  </si>
  <si>
    <t xml:space="preserve">not up-to date</t>
  </si>
  <si>
    <t xml:space="preserve">M8XQ5t2Upjg</t>
  </si>
  <si>
    <t xml:space="preserve">Oxoid=Dako</t>
  </si>
  <si>
    <t xml:space="preserve">Mbaj95RukVU</t>
  </si>
  <si>
    <t xml:space="preserve">Pv2 Sabin-Like</t>
  </si>
  <si>
    <t xml:space="preserve">MBLVRwg2ktZ</t>
  </si>
  <si>
    <t xml:space="preserve">bCM7CIlQszI</t>
  </si>
  <si>
    <t xml:space="preserve">SEQUENCING</t>
  </si>
  <si>
    <t xml:space="preserve">McqtPS2tM2C</t>
  </si>
  <si>
    <t xml:space="preserve">Pending classfication</t>
  </si>
  <si>
    <t xml:space="preserve">SM</t>
  </si>
  <si>
    <t xml:space="preserve">MFV7G9o4ylu</t>
  </si>
  <si>
    <t xml:space="preserve">Unspecified infection</t>
  </si>
  <si>
    <t xml:space="preserve">Unspecified</t>
  </si>
  <si>
    <t xml:space="preserve">MGEgyoAi0h8</t>
  </si>
  <si>
    <t xml:space="preserve">q0cJWflyldt</t>
  </si>
  <si>
    <t xml:space="preserve">&lt;=100</t>
  </si>
  <si>
    <t xml:space="preserve">MiLrgJWhgLl</t>
  </si>
  <si>
    <t xml:space="preserve">2-SOAS</t>
  </si>
  <si>
    <t xml:space="preserve">SOAS</t>
  </si>
  <si>
    <t xml:space="preserve">mKDzKakyjxg</t>
  </si>
  <si>
    <t xml:space="preserve">LdCdnvZdsGY</t>
  </si>
  <si>
    <t xml:space="preserve">Fièvre de Lassa</t>
  </si>
  <si>
    <t xml:space="preserve">Lassa</t>
  </si>
  <si>
    <t xml:space="preserve">mm2MQgva20L</t>
  </si>
  <si>
    <t xml:space="preserve">MM5hQliQqNp</t>
  </si>
  <si>
    <t xml:space="preserve">CEqvelCALbO</t>
  </si>
  <si>
    <t xml:space="preserve">mNk8StIlrvU</t>
  </si>
  <si>
    <t xml:space="preserve">Broth</t>
  </si>
  <si>
    <t xml:space="preserve">Type 3</t>
  </si>
  <si>
    <t xml:space="preserve">T3</t>
  </si>
  <si>
    <t xml:space="preserve">MPh32mE0N4I</t>
  </si>
  <si>
    <t xml:space="preserve">MRtu9bS1exJ</t>
  </si>
  <si>
    <t xml:space="preserve">Confirme</t>
  </si>
  <si>
    <t xml:space="preserve">mUHNo2aSjU4</t>
  </si>
  <si>
    <t xml:space="preserve">LAmedicalAdvice</t>
  </si>
  <si>
    <t xml:space="preserve">muYzxHiVmOw</t>
  </si>
  <si>
    <t xml:space="preserve">Drilling</t>
  </si>
  <si>
    <t xml:space="preserve">MVrejYiH55H</t>
  </si>
  <si>
    <t xml:space="preserve">Nm Y/W135</t>
  </si>
  <si>
    <t xml:space="preserve">myTuMwD8Mnn</t>
  </si>
  <si>
    <t xml:space="preserve">Pas applicable</t>
  </si>
  <si>
    <t xml:space="preserve">PasApplicable</t>
  </si>
  <si>
    <t xml:space="preserve">MYwGyWJIsNe</t>
  </si>
  <si>
    <t xml:space="preserve">Mixture</t>
  </si>
  <si>
    <t xml:space="preserve">N2VWOerCZIF</t>
  </si>
  <si>
    <t xml:space="preserve">n70YuHmhybS</t>
  </si>
  <si>
    <t xml:space="preserve">Autres FVH</t>
  </si>
  <si>
    <t xml:space="preserve">Na0ZcCd8A1Z</t>
  </si>
  <si>
    <t xml:space="preserve">W3iOXe2Ibgk</t>
  </si>
  <si>
    <t xml:space="preserve">&lt;40</t>
  </si>
  <si>
    <t xml:space="preserve">K</t>
  </si>
  <si>
    <t xml:space="preserve">NAdL4Jn0rCf</t>
  </si>
  <si>
    <t xml:space="preserve">nAkdXbFygCV</t>
  </si>
  <si>
    <t xml:space="preserve">Long</t>
  </si>
  <si>
    <t xml:space="preserve">ncL8e0DMIdO</t>
  </si>
  <si>
    <t xml:space="preserve">NEvFZuP03v5</t>
  </si>
  <si>
    <t xml:space="preserve">Positive Strep pn</t>
  </si>
  <si>
    <t xml:space="preserve">NfDTQxUb4VF</t>
  </si>
  <si>
    <t xml:space="preserve">Non Cas</t>
  </si>
  <si>
    <t xml:space="preserve">NonCas</t>
  </si>
  <si>
    <t xml:space="preserve">NG6vY3P52pQ</t>
  </si>
  <si>
    <t xml:space="preserve">EsVnMVlYZjx</t>
  </si>
  <si>
    <t xml:space="preserve">Vaccination card</t>
  </si>
  <si>
    <t xml:space="preserve">niVrGR1pQlz</t>
  </si>
  <si>
    <t xml:space="preserve">niye2Ej5clU</t>
  </si>
  <si>
    <t xml:space="preserve">Widow</t>
  </si>
  <si>
    <t xml:space="preserve">Nm4dBGbAfOG</t>
  </si>
  <si>
    <t xml:space="preserve">IgM differential diagnosis</t>
  </si>
  <si>
    <t xml:space="preserve">IgMDifferentialDiagnosis</t>
  </si>
  <si>
    <t xml:space="preserve">nnbSoBAtc7D</t>
  </si>
  <si>
    <t xml:space="preserve">nO7rnHLMzeg</t>
  </si>
  <si>
    <t xml:space="preserve">NTLp0i6NfQu</t>
  </si>
  <si>
    <t xml:space="preserve">Hard to reach area</t>
  </si>
  <si>
    <t xml:space="preserve">nUGznyiDjin</t>
  </si>
  <si>
    <t xml:space="preserve">Confirmed YF</t>
  </si>
  <si>
    <t xml:space="preserve">CYF</t>
  </si>
  <si>
    <t xml:space="preserve">nUQa6Gz6j4r</t>
  </si>
  <si>
    <t xml:space="preserve">KkfFreIsVbJ</t>
  </si>
  <si>
    <t xml:space="preserve">Medical record/Clinical register</t>
  </si>
  <si>
    <t xml:space="preserve">nXN8g1gC0kB</t>
  </si>
  <si>
    <t xml:space="preserve">b</t>
  </si>
  <si>
    <t xml:space="preserve">nZA04HnYo9A</t>
  </si>
  <si>
    <t xml:space="preserve">Mixed infections Spn+Hi or Nm</t>
  </si>
  <si>
    <t xml:space="preserve">Mixed infections</t>
  </si>
  <si>
    <t xml:space="preserve">nzI35AxQJBC</t>
  </si>
  <si>
    <t xml:space="preserve">Mpox</t>
  </si>
  <si>
    <t xml:space="preserve">Mbox</t>
  </si>
  <si>
    <t xml:space="preserve">O3j1uYJMLi4</t>
  </si>
  <si>
    <t xml:space="preserve">o5Jmc2rIdAN</t>
  </si>
  <si>
    <t xml:space="preserve">yXrcboEb3sQ</t>
  </si>
  <si>
    <t xml:space="preserve">o7uzWlgeatm</t>
  </si>
  <si>
    <t xml:space="preserve">ORT Corner</t>
  </si>
  <si>
    <t xml:space="preserve">O9Ip6Jgwdno</t>
  </si>
  <si>
    <t xml:space="preserve">Consultation register</t>
  </si>
  <si>
    <t xml:space="preserve">oAIFlxKqquy</t>
  </si>
  <si>
    <t xml:space="preserve">Good, Alert</t>
  </si>
  <si>
    <t xml:space="preserve">oEtZIa2F71j</t>
  </si>
  <si>
    <t xml:space="preserve">Rubella</t>
  </si>
  <si>
    <t xml:space="preserve">oijuQSroCEf</t>
  </si>
  <si>
    <t xml:space="preserve">OkbGMdErYnD</t>
  </si>
  <si>
    <t xml:space="preserve">tvrV3qdIdFy</t>
  </si>
  <si>
    <t xml:space="preserve">1-M</t>
  </si>
  <si>
    <t xml:space="preserve">M</t>
  </si>
  <si>
    <t xml:space="preserve">oKRBRku5rXJ</t>
  </si>
  <si>
    <t xml:space="preserve">Lake / River</t>
  </si>
  <si>
    <t xml:space="preserve">OLdBtnctIFb</t>
  </si>
  <si>
    <t xml:space="preserve">Non Hib</t>
  </si>
  <si>
    <t xml:space="preserve">oOoMpuLei5a</t>
  </si>
  <si>
    <t xml:space="preserve">G4</t>
  </si>
  <si>
    <t xml:space="preserve">OQN7uOZ1ICe</t>
  </si>
  <si>
    <t xml:space="preserve">PV1 Non Sabin-like</t>
  </si>
  <si>
    <t xml:space="preserve">OrxHHfjwQYt</t>
  </si>
  <si>
    <t xml:space="preserve">Positive Yellow fever</t>
  </si>
  <si>
    <t xml:space="preserve">PositiveYF</t>
  </si>
  <si>
    <t xml:space="preserve">Ov5fekBVKMH</t>
  </si>
  <si>
    <t xml:space="preserve">OwwpN5HnNDq</t>
  </si>
  <si>
    <t xml:space="preserve">Congenital Rubella Infection</t>
  </si>
  <si>
    <t xml:space="preserve">RubellaInfection</t>
  </si>
  <si>
    <t xml:space="preserve">OXXUdI8s0Qa</t>
  </si>
  <si>
    <t xml:space="preserve">m0pJrr1wita</t>
  </si>
  <si>
    <t xml:space="preserve">Health Center or Clinical</t>
  </si>
  <si>
    <t xml:space="preserve">Health Center</t>
  </si>
  <si>
    <t xml:space="preserve">Oy2BPMy3DnM</t>
  </si>
  <si>
    <t xml:space="preserve">Playment/shoolmate</t>
  </si>
  <si>
    <t xml:space="preserve">p2PJ4EOGKQe</t>
  </si>
  <si>
    <t xml:space="preserve">DC</t>
  </si>
  <si>
    <t xml:space="preserve">P3jH4bPTAub</t>
  </si>
  <si>
    <t xml:space="preserve">P4ZjOXv8W4x</t>
  </si>
  <si>
    <t xml:space="preserve">AH5N1</t>
  </si>
  <si>
    <t xml:space="preserve">P7hHjtgAlmp</t>
  </si>
  <si>
    <t xml:space="preserve">No other test</t>
  </si>
  <si>
    <t xml:space="preserve">NO</t>
  </si>
  <si>
    <t xml:space="preserve">p88hbIMe6NU</t>
  </si>
  <si>
    <t xml:space="preserve">c</t>
  </si>
  <si>
    <t xml:space="preserve">PBUqloeBEJv</t>
  </si>
  <si>
    <t xml:space="preserve">Oropharyngé</t>
  </si>
  <si>
    <t xml:space="preserve">Non-typeable by PCR</t>
  </si>
  <si>
    <t xml:space="preserve">Non-typeable PCR</t>
  </si>
  <si>
    <t xml:space="preserve">peiX5r4yREO</t>
  </si>
  <si>
    <t xml:space="preserve">Household non relative</t>
  </si>
  <si>
    <t xml:space="preserve">pen2Yu6cVmt</t>
  </si>
  <si>
    <t xml:space="preserve">PV3 Discordant</t>
  </si>
  <si>
    <t xml:space="preserve">pjCIfJfSpvX</t>
  </si>
  <si>
    <t xml:space="preserve">pjyjtzVlYkm</t>
  </si>
  <si>
    <t xml:space="preserve">Positive Group B Strept</t>
  </si>
  <si>
    <t xml:space="preserve">PK0l3amHS36</t>
  </si>
  <si>
    <t xml:space="preserve">iVDPV</t>
  </si>
  <si>
    <t xml:space="preserve">pkDzFly1vWk</t>
  </si>
  <si>
    <t xml:space="preserve">40-100</t>
  </si>
  <si>
    <t xml:space="preserve">pkS5EWXvYQM</t>
  </si>
  <si>
    <t xml:space="preserve">D</t>
  </si>
  <si>
    <t xml:space="preserve">PkSsyaYjbUA</t>
  </si>
  <si>
    <t xml:space="preserve">History, verbal report</t>
  </si>
  <si>
    <t xml:space="preserve">History verbal report</t>
  </si>
  <si>
    <t xml:space="preserve">pTDxMoYCZJ4</t>
  </si>
  <si>
    <t xml:space="preserve">4-ROR2</t>
  </si>
  <si>
    <t xml:space="preserve">ROR2</t>
  </si>
  <si>
    <t xml:space="preserve">pU60JLn11h0</t>
  </si>
  <si>
    <t xml:space="preserve">pYjQ6egakXR</t>
  </si>
  <si>
    <t xml:space="preserve">DNA</t>
  </si>
  <si>
    <t xml:space="preserve">Multiple</t>
  </si>
  <si>
    <t xml:space="preserve">PyW3qezKTXm</t>
  </si>
  <si>
    <t xml:space="preserve">13-Non-groupable by PCR</t>
  </si>
  <si>
    <t xml:space="preserve">Non-groupable by PCR</t>
  </si>
  <si>
    <t xml:space="preserve">pZWiSNx7byg</t>
  </si>
  <si>
    <t xml:space="preserve">Co-infection</t>
  </si>
  <si>
    <t xml:space="preserve">q1747zReEze</t>
  </si>
  <si>
    <t xml:space="preserve">PendingPCR</t>
  </si>
  <si>
    <t xml:space="preserve">No organism seen</t>
  </si>
  <si>
    <t xml:space="preserve">q4wJvVm1SWd</t>
  </si>
  <si>
    <t xml:space="preserve">q9UxN7bnFsO</t>
  </si>
  <si>
    <t xml:space="preserve">PV1 NSL</t>
  </si>
  <si>
    <t xml:space="preserve">qaAUBBMNMvq</t>
  </si>
  <si>
    <t xml:space="preserve">Spneumoniae</t>
  </si>
  <si>
    <t xml:space="preserve">&gt;100</t>
  </si>
  <si>
    <t xml:space="preserve">QBVvtXlVLO6</t>
  </si>
  <si>
    <t xml:space="preserve">PV3 Non Sabin-Like</t>
  </si>
  <si>
    <t xml:space="preserve">qc9mh61Zdz5</t>
  </si>
  <si>
    <t xml:space="preserve">qCQ8rRxi3sE</t>
  </si>
  <si>
    <t xml:space="preserve">Gm pos cocci pairs</t>
  </si>
  <si>
    <t xml:space="preserve">QcrRt2a7Lz4</t>
  </si>
  <si>
    <t xml:space="preserve">AH3N2</t>
  </si>
  <si>
    <t xml:space="preserve">qEXZ3RimnI6</t>
  </si>
  <si>
    <t xml:space="preserve">N. Menigitidis</t>
  </si>
  <si>
    <t xml:space="preserve">N Menigitidis</t>
  </si>
  <si>
    <t xml:space="preserve">qHC95inrFwL</t>
  </si>
  <si>
    <t xml:space="preserve">qlUBWuW4fmh</t>
  </si>
  <si>
    <t xml:space="preserve">University or more</t>
  </si>
  <si>
    <t xml:space="preserve">qMXlyXNGms1</t>
  </si>
  <si>
    <t xml:space="preserve">Parasitoses digestives</t>
  </si>
  <si>
    <t xml:space="preserve">qpjwGQgKWRF</t>
  </si>
  <si>
    <t xml:space="preserve">PV1 Sabin-Like</t>
  </si>
  <si>
    <t xml:space="preserve">qQhmnGqkc0Q</t>
  </si>
  <si>
    <t xml:space="preserve">Suspected meningitis</t>
  </si>
  <si>
    <t xml:space="preserve">QuEdF9ldXYM</t>
  </si>
  <si>
    <t xml:space="preserve">12-Z</t>
  </si>
  <si>
    <t xml:space="preserve">Z</t>
  </si>
  <si>
    <t xml:space="preserve">QuU9NiZjIYU</t>
  </si>
  <si>
    <t xml:space="preserve">Dry tube</t>
  </si>
  <si>
    <t xml:space="preserve">QV83oZmQTXk</t>
  </si>
  <si>
    <t xml:space="preserve">Oral</t>
  </si>
  <si>
    <t xml:space="preserve">qWlGwoK7ouX</t>
  </si>
  <si>
    <t xml:space="preserve">Seroneutralisation</t>
  </si>
  <si>
    <t xml:space="preserve">qWPQzfSWNJe</t>
  </si>
  <si>
    <t xml:space="preserve">qWz3kiHqmYO</t>
  </si>
  <si>
    <t xml:space="preserve">QYjtgo3rn7q</t>
  </si>
  <si>
    <t xml:space="preserve">QZN8dMBKLUZ</t>
  </si>
  <si>
    <t xml:space="preserve">Meningitis</t>
  </si>
  <si>
    <t xml:space="preserve">R0bu6Q9NG22</t>
  </si>
  <si>
    <t xml:space="preserve">Discrad</t>
  </si>
  <si>
    <t xml:space="preserve">Death before follow up</t>
  </si>
  <si>
    <t xml:space="preserve">R2ylE7sn4nU</t>
  </si>
  <si>
    <t xml:space="preserve">Short</t>
  </si>
  <si>
    <t xml:space="preserve">Ra5wYNYd2QH</t>
  </si>
  <si>
    <t xml:space="preserve">Indeterminé</t>
  </si>
  <si>
    <t xml:space="preserve">Indetermine</t>
  </si>
  <si>
    <t xml:space="preserve">rAM9KmUk9DQ</t>
  </si>
  <si>
    <t xml:space="preserve">rBOavgPynqc</t>
  </si>
  <si>
    <t xml:space="preserve">RfLiybNSDIj</t>
  </si>
  <si>
    <t xml:space="preserve">RGKX2jZZcwW</t>
  </si>
  <si>
    <t xml:space="preserve">RT PCR</t>
  </si>
  <si>
    <t xml:space="preserve">rGQn6nVULy0</t>
  </si>
  <si>
    <t xml:space="preserve">not tested</t>
  </si>
  <si>
    <t xml:space="preserve">notTested</t>
  </si>
  <si>
    <t xml:space="preserve">RhgSIsTRQ7x</t>
  </si>
  <si>
    <t xml:space="preserve">Hi+Spn</t>
  </si>
  <si>
    <t xml:space="preserve">rI5EDrgJaT1</t>
  </si>
  <si>
    <t xml:space="preserve">Vaccinated by card</t>
  </si>
  <si>
    <t xml:space="preserve">Card</t>
  </si>
  <si>
    <t xml:space="preserve">rIgus7Frgy1</t>
  </si>
  <si>
    <t xml:space="preserve">PDV</t>
  </si>
  <si>
    <t xml:space="preserve">Compatible/clinical measles</t>
  </si>
  <si>
    <t xml:space="preserve">CC</t>
  </si>
  <si>
    <t xml:space="preserve">rnlQaFQisOZ</t>
  </si>
  <si>
    <t xml:space="preserve">rOWQJGY2Q7j</t>
  </si>
  <si>
    <t xml:space="preserve">1G</t>
  </si>
  <si>
    <t xml:space="preserve">rpnEdnZaaFk</t>
  </si>
  <si>
    <t xml:space="preserve">rpo4WRBqd24</t>
  </si>
  <si>
    <t xml:space="preserve">G9</t>
  </si>
  <si>
    <t xml:space="preserve">RxHw7IzY5nh</t>
  </si>
  <si>
    <t xml:space="preserve">VrmYHH73RGC</t>
  </si>
  <si>
    <t xml:space="preserve">Décédé</t>
  </si>
  <si>
    <t xml:space="preserve">S3Ah8wG4HOV</t>
  </si>
  <si>
    <t xml:space="preserve">S3O4DbILJGB</t>
  </si>
  <si>
    <t xml:space="preserve">S99vseIkexI</t>
  </si>
  <si>
    <t xml:space="preserve">-70 Degrees freezer</t>
  </si>
  <si>
    <t xml:space="preserve">(-70 Degrees freezer)</t>
  </si>
  <si>
    <t xml:space="preserve">sAbTc44S4tq</t>
  </si>
  <si>
    <t xml:space="preserve">saKh3FDMWGs</t>
  </si>
  <si>
    <t xml:space="preserve">Lost to follow up</t>
  </si>
  <si>
    <t xml:space="preserve">sbyrB2hkOE2</t>
  </si>
  <si>
    <t xml:space="preserve">RR</t>
  </si>
  <si>
    <t xml:space="preserve">5-Other</t>
  </si>
  <si>
    <t xml:space="preserve">sFlZ6TpMSu9</t>
  </si>
  <si>
    <t xml:space="preserve">ORS only</t>
  </si>
  <si>
    <t xml:space="preserve">shF96UXnVS0</t>
  </si>
  <si>
    <t xml:space="preserve">Health facility</t>
  </si>
  <si>
    <t xml:space="preserve">ShT3YWGh0zk</t>
  </si>
  <si>
    <t xml:space="preserve">PV3 Non Sabin-like</t>
  </si>
  <si>
    <t xml:space="preserve">SkYMdcMS1re</t>
  </si>
  <si>
    <t xml:space="preserve">3-MMR</t>
  </si>
  <si>
    <t xml:space="preserve">MMR</t>
  </si>
  <si>
    <t xml:space="preserve">SUAm0R2Trhs</t>
  </si>
  <si>
    <t xml:space="preserve">Positive other arbovirus</t>
  </si>
  <si>
    <t xml:space="preserve">PositiveArbovirus</t>
  </si>
  <si>
    <t xml:space="preserve">SVsx4qp1CCg</t>
  </si>
  <si>
    <t xml:space="preserve">PAGE &amp; RT PCR</t>
  </si>
  <si>
    <t xml:space="preserve">sx8qkdpuKQo</t>
  </si>
  <si>
    <t xml:space="preserve">SZCnNIb9scQ</t>
  </si>
  <si>
    <t xml:space="preserve">Purchased water</t>
  </si>
  <si>
    <t xml:space="preserve">SZM6pKqOx4n</t>
  </si>
  <si>
    <t xml:space="preserve">V. cholerae O139</t>
  </si>
  <si>
    <t xml:space="preserve">t04KOYeEZrP</t>
  </si>
  <si>
    <t xml:space="preserve">15-Not done</t>
  </si>
  <si>
    <t xml:space="preserve">t0AiebpBj15</t>
  </si>
  <si>
    <t xml:space="preserve">Mixed breastfeeding</t>
  </si>
  <si>
    <t xml:space="preserve">T4pG2SnWZa7</t>
  </si>
  <si>
    <t xml:space="preserve">Positive Nm B/E.Coli</t>
  </si>
  <si>
    <t xml:space="preserve">Positive Nm B/EColi</t>
  </si>
  <si>
    <t xml:space="preserve">T7nLgi7tZJL</t>
  </si>
  <si>
    <t xml:space="preserve">B3</t>
  </si>
  <si>
    <t xml:space="preserve">TBLjt7C3YmS</t>
  </si>
  <si>
    <t xml:space="preserve">CSFISOLATE</t>
  </si>
  <si>
    <t xml:space="preserve">Te2Z5uKfhYQ</t>
  </si>
  <si>
    <t xml:space="preserve">TI96HsChj9l</t>
  </si>
  <si>
    <t xml:space="preserve">G2</t>
  </si>
  <si>
    <t xml:space="preserve">TImpHyyVVd2</t>
  </si>
  <si>
    <t xml:space="preserve">tIS1z4nMmjm</t>
  </si>
  <si>
    <t xml:space="preserve">TJ0uC0t5odm</t>
  </si>
  <si>
    <t xml:space="preserve">Maladie de Marburg</t>
  </si>
  <si>
    <t xml:space="preserve">Marburg</t>
  </si>
  <si>
    <t xml:space="preserve">tjtPucPZeE8</t>
  </si>
  <si>
    <t xml:space="preserve">tN4UgbC7uPf</t>
  </si>
  <si>
    <t xml:space="preserve">33F/33A/38</t>
  </si>
  <si>
    <t xml:space="preserve">Type 1</t>
  </si>
  <si>
    <t xml:space="preserve">T1</t>
  </si>
  <si>
    <t xml:space="preserve">tReHsF39f3m</t>
  </si>
  <si>
    <t xml:space="preserve">Rotaclone</t>
  </si>
  <si>
    <t xml:space="preserve">U6Y1IeXX6QU</t>
  </si>
  <si>
    <t xml:space="preserve">PV3 NSL</t>
  </si>
  <si>
    <t xml:space="preserve">U80shdnnuG4</t>
  </si>
  <si>
    <t xml:space="preserve">H. Influenzae</t>
  </si>
  <si>
    <t xml:space="preserve">H Influenzae</t>
  </si>
  <si>
    <t xml:space="preserve">U83jwdAlyPp</t>
  </si>
  <si>
    <t xml:space="preserve">NmB/E coliK1</t>
  </si>
  <si>
    <t xml:space="preserve">PV2 Discordant</t>
  </si>
  <si>
    <t xml:space="preserve">UAtJd6eWQ4h</t>
  </si>
  <si>
    <t xml:space="preserve">Wells covered</t>
  </si>
  <si>
    <t xml:space="preserve">uCWQl2uIlhN</t>
  </si>
  <si>
    <t xml:space="preserve">2-MR</t>
  </si>
  <si>
    <t xml:space="preserve">MR</t>
  </si>
  <si>
    <t xml:space="preserve">UhAs1XyQDla</t>
  </si>
  <si>
    <t xml:space="preserve">Hospital</t>
  </si>
  <si>
    <t xml:space="preserve">UPyJc4X9q81</t>
  </si>
  <si>
    <t xml:space="preserve">tUDlYVB7bYu</t>
  </si>
  <si>
    <t xml:space="preserve">Negative/No growth</t>
  </si>
  <si>
    <t xml:space="preserve">NN</t>
  </si>
  <si>
    <t xml:space="preserve">UqdPIrNQRN9</t>
  </si>
  <si>
    <t xml:space="preserve">Lab-confirmed for HI</t>
  </si>
  <si>
    <t xml:space="preserve">LC</t>
  </si>
  <si>
    <t xml:space="preserve">uQWYPdh3Ak8</t>
  </si>
  <si>
    <t xml:space="preserve">URpMEob3EXP</t>
  </si>
  <si>
    <t xml:space="preserve">vaccinated by history</t>
  </si>
  <si>
    <t xml:space="preserve">History</t>
  </si>
  <si>
    <t xml:space="preserve">URT3QryLvpa</t>
  </si>
  <si>
    <t xml:space="preserve">uvMbr4v6igV</t>
  </si>
  <si>
    <t xml:space="preserve">Ux5F2BcX6An</t>
  </si>
  <si>
    <t xml:space="preserve">Post-Secondary</t>
  </si>
  <si>
    <t xml:space="preserve">PS</t>
  </si>
  <si>
    <t xml:space="preserve">UYQ3uhDnVaa</t>
  </si>
  <si>
    <t xml:space="preserve">Other/Serotyping</t>
  </si>
  <si>
    <t xml:space="preserve">UzBjkuRzZki</t>
  </si>
  <si>
    <t xml:space="preserve">UZKOan7j090</t>
  </si>
  <si>
    <t xml:space="preserve">IVF</t>
  </si>
  <si>
    <t xml:space="preserve">V7arvDqxdrT</t>
  </si>
  <si>
    <t xml:space="preserve">v9kq0RQFLFa</t>
  </si>
  <si>
    <t xml:space="preserve">Single</t>
  </si>
  <si>
    <t xml:space="preserve">VanI6exuGmr</t>
  </si>
  <si>
    <t xml:space="preserve">SI</t>
  </si>
  <si>
    <t xml:space="preserve">vbiDRIVBcLO</t>
  </si>
  <si>
    <t xml:space="preserve">ThroatSwab</t>
  </si>
  <si>
    <t xml:space="preserve">NEV</t>
  </si>
  <si>
    <t xml:space="preserve">vCTx6wScSYw</t>
  </si>
  <si>
    <t xml:space="preserve">X and V factors</t>
  </si>
  <si>
    <t xml:space="preserve">XV</t>
  </si>
  <si>
    <t xml:space="preserve">vdxClEeJEeu</t>
  </si>
  <si>
    <t xml:space="preserve">vfkCNYt3tRP</t>
  </si>
  <si>
    <t xml:space="preserve">d</t>
  </si>
  <si>
    <t xml:space="preserve">VFKOrxQzLY2</t>
  </si>
  <si>
    <t xml:space="preserve">Whole</t>
  </si>
  <si>
    <t xml:space="preserve">Optochin</t>
  </si>
  <si>
    <t xml:space="preserve">Opto</t>
  </si>
  <si>
    <t xml:space="preserve">VI8cI4YjcA6</t>
  </si>
  <si>
    <t xml:space="preserve">Severe pneumoniae</t>
  </si>
  <si>
    <t xml:space="preserve">vkW0TGZJ3cO</t>
  </si>
  <si>
    <t xml:space="preserve">vlCQiMVRLYH</t>
  </si>
  <si>
    <t xml:space="preserve">8-W</t>
  </si>
  <si>
    <t xml:space="preserve">W</t>
  </si>
  <si>
    <t xml:space="preserve">vLzaD0vTx4w</t>
  </si>
  <si>
    <t xml:space="preserve">Residual flaccid paralysis</t>
  </si>
  <si>
    <t xml:space="preserve">VMwzqK4AdRx</t>
  </si>
  <si>
    <t xml:space="preserve">Culture not done</t>
  </si>
  <si>
    <t xml:space="preserve">VpaHBxKHPSm</t>
  </si>
  <si>
    <t xml:space="preserve">Gm neg rod</t>
  </si>
  <si>
    <t xml:space="preserve">VPrWOzJCtn0</t>
  </si>
  <si>
    <t xml:space="preserve">vsaHDpvTzvq</t>
  </si>
  <si>
    <t xml:space="preserve">CL</t>
  </si>
  <si>
    <t xml:space="preserve">vsFqWfE1HNM</t>
  </si>
  <si>
    <t xml:space="preserve">Pavillon</t>
  </si>
  <si>
    <t xml:space="preserve">Vt9dcYqjT0B</t>
  </si>
  <si>
    <t xml:space="preserve">Gm pos cocci clusters</t>
  </si>
  <si>
    <t xml:space="preserve">Vu58ALsyhOG</t>
  </si>
  <si>
    <t xml:space="preserve">PV2 NonSabin-like</t>
  </si>
  <si>
    <t xml:space="preserve">vwIBLJPhezB</t>
  </si>
  <si>
    <t xml:space="preserve">Dried</t>
  </si>
  <si>
    <t xml:space="preserve">w9sZufCTuaG</t>
  </si>
  <si>
    <t xml:space="preserve">PV2 Non Sabin-like</t>
  </si>
  <si>
    <t xml:space="preserve">w9YqkxiQjE5</t>
  </si>
  <si>
    <t xml:space="preserve">PAGE</t>
  </si>
  <si>
    <t xml:space="preserve">watKD28RJRI</t>
  </si>
  <si>
    <t xml:space="preserve">Gm neg diplococci</t>
  </si>
  <si>
    <t xml:space="preserve">Wb7MOEgsKiT</t>
  </si>
  <si>
    <t xml:space="preserve">Septicaemia</t>
  </si>
  <si>
    <t xml:space="preserve">WBSsJZP540l</t>
  </si>
  <si>
    <t xml:space="preserve">PV2 SL</t>
  </si>
  <si>
    <t xml:space="preserve">WclwG5bQM4J</t>
  </si>
  <si>
    <t xml:space="preserve">WFxqPO25FNt</t>
  </si>
  <si>
    <t xml:space="preserve">V. cholerae O1</t>
  </si>
  <si>
    <t xml:space="preserve">WjGg2SeW15Z</t>
  </si>
  <si>
    <t xml:space="preserve">Xanthrochromic</t>
  </si>
  <si>
    <t xml:space="preserve">X</t>
  </si>
  <si>
    <t xml:space="preserve">WKgV7wIZ6ME</t>
  </si>
  <si>
    <t xml:space="preserve">WLXbsHe5DFd</t>
  </si>
  <si>
    <t xml:space="preserve">Gm neg coccobacilli</t>
  </si>
  <si>
    <t xml:space="preserve">WOk6wfxwqsG</t>
  </si>
  <si>
    <t xml:space="preserve">wTYmqXQZKB4</t>
  </si>
  <si>
    <t xml:space="preserve">S. Pneumoniae</t>
  </si>
  <si>
    <t xml:space="preserve">S Pneumoniae</t>
  </si>
  <si>
    <t xml:space="preserve">WVF1eTZqBZJ</t>
  </si>
  <si>
    <t xml:space="preserve">N. meningitidis</t>
  </si>
  <si>
    <t xml:space="preserve">X0z2OMun0Pv</t>
  </si>
  <si>
    <t xml:space="preserve">YF Suspect</t>
  </si>
  <si>
    <t xml:space="preserve">E</t>
  </si>
  <si>
    <t xml:space="preserve">X1audsrZB6t</t>
  </si>
  <si>
    <t xml:space="preserve">PV2 Non Sabin-Like</t>
  </si>
  <si>
    <t xml:space="preserve">X9eBKSTX3DH</t>
  </si>
  <si>
    <t xml:space="preserve">Yes</t>
  </si>
  <si>
    <t xml:space="preserve">XccaCaYY2gz</t>
  </si>
  <si>
    <t xml:space="preserve">ORS and IVF</t>
  </si>
  <si>
    <t xml:space="preserve">XE54TgrIFa1</t>
  </si>
  <si>
    <t xml:space="preserve">Secondary</t>
  </si>
  <si>
    <t xml:space="preserve">xH33JTAAoCz</t>
  </si>
  <si>
    <t xml:space="preserve">10-X</t>
  </si>
  <si>
    <t xml:space="preserve">XKBkOlsJwO0</t>
  </si>
  <si>
    <t xml:space="preserve">xMEYsNm7AN1</t>
  </si>
  <si>
    <t xml:space="preserve">XQSOKVlBpJU</t>
  </si>
  <si>
    <t xml:space="preserve">xrbd6zL6sSr</t>
  </si>
  <si>
    <t xml:space="preserve">Maladie à virus Ebola</t>
  </si>
  <si>
    <t xml:space="preserve">Ebola</t>
  </si>
  <si>
    <t xml:space="preserve">xs4TFtwGJM9</t>
  </si>
  <si>
    <t xml:space="preserve">Well open</t>
  </si>
  <si>
    <t xml:space="preserve">XymFr0wV6lT</t>
  </si>
  <si>
    <t xml:space="preserve">XZm1KzotlGs</t>
  </si>
  <si>
    <t xml:space="preserve">E. coli O 157:H7</t>
  </si>
  <si>
    <t xml:space="preserve">Y1LnNn8h72X</t>
  </si>
  <si>
    <t xml:space="preserve">Mother</t>
  </si>
  <si>
    <t xml:space="preserve">y37ypmfEIuT</t>
  </si>
  <si>
    <t xml:space="preserve">G8</t>
  </si>
  <si>
    <t xml:space="preserve">YcuaBk6Jqhf</t>
  </si>
  <si>
    <t xml:space="preserve">G1</t>
  </si>
  <si>
    <t xml:space="preserve">YgazbFIpWDl</t>
  </si>
  <si>
    <t xml:space="preserve">Blood stain</t>
  </si>
  <si>
    <t xml:space="preserve">Yh63nPQnd5W</t>
  </si>
  <si>
    <t xml:space="preserve">yHqipKQXwFQ</t>
  </si>
  <si>
    <t xml:space="preserve">yi8kUghUE8a</t>
  </si>
  <si>
    <t xml:space="preserve">Buttock</t>
  </si>
  <si>
    <t xml:space="preserve">YN9BVf4t0by</t>
  </si>
  <si>
    <t xml:space="preserve">Artificial milk</t>
  </si>
  <si>
    <t xml:space="preserve">YNGEvW3iQwH</t>
  </si>
  <si>
    <t xml:space="preserve">antigen detection</t>
  </si>
  <si>
    <t xml:space="preserve">antigenDetection</t>
  </si>
  <si>
    <t xml:space="preserve">yOXweR2zhy7</t>
  </si>
  <si>
    <t xml:space="preserve">ypdnOaSpdOY</t>
  </si>
  <si>
    <t xml:space="preserve">Other Specify</t>
  </si>
  <si>
    <t xml:space="preserve">yPNg3sgwmOr</t>
  </si>
  <si>
    <t xml:space="preserve">Gram positive</t>
  </si>
  <si>
    <t xml:space="preserve">yq1T7p5wuSP</t>
  </si>
  <si>
    <t xml:space="preserve">YvSdujQ6xan</t>
  </si>
  <si>
    <t xml:space="preserve">Investigation</t>
  </si>
  <si>
    <t xml:space="preserve">9-unknown</t>
  </si>
  <si>
    <t xml:space="preserve">unknown</t>
  </si>
  <si>
    <t xml:space="preserve">Z4GEdCgEUnM</t>
  </si>
  <si>
    <t xml:space="preserve">Arm</t>
  </si>
  <si>
    <t xml:space="preserve">zAnlXLVU7Uo</t>
  </si>
  <si>
    <t xml:space="preserve">No residual paralysis</t>
  </si>
  <si>
    <t xml:space="preserve">zbdUBKSMJqJ</t>
  </si>
  <si>
    <t xml:space="preserve">Other (Specify)</t>
  </si>
  <si>
    <t xml:space="preserve">ZDWB85a1J9H</t>
  </si>
  <si>
    <t xml:space="preserve">Non-typeable by SAST</t>
  </si>
  <si>
    <t xml:space="preserve">Non-typeable SAST</t>
  </si>
  <si>
    <t xml:space="preserve">zgv8lZcte1q</t>
  </si>
  <si>
    <t xml:space="preserve">ZikIKF5ErL8</t>
  </si>
  <si>
    <t xml:space="preserve">Lab confirmed CRS</t>
  </si>
  <si>
    <t xml:space="preserve">LabCRS</t>
  </si>
  <si>
    <t xml:space="preserve">ZNBGD09RPW8</t>
  </si>
  <si>
    <t xml:space="preserve">2B</t>
  </si>
  <si>
    <t xml:space="preserve">Zqb50NwkCab</t>
  </si>
  <si>
    <t xml:space="preserve">ZQHwptY1ZMD</t>
  </si>
  <si>
    <t xml:space="preserve">zUBPvClJNgm</t>
  </si>
  <si>
    <t xml:space="preserve">H. influenzae</t>
  </si>
  <si>
    <t xml:space="preserve">zW6Alq3wudi</t>
  </si>
  <si>
    <t xml:space="preserve">Home</t>
  </si>
  <si>
    <t xml:space="preserve">ZwNBCZQJu0Y</t>
  </si>
  <si>
    <t xml:space="preserve">zXDxGkDt8Cz</t>
  </si>
  <si>
    <t xml:space="preserve">zXiBChqwVEm</t>
  </si>
  <si>
    <t xml:space="preserve">Lab-confirmed for other organism</t>
  </si>
  <si>
    <t xml:space="preserve">LCO</t>
  </si>
  <si>
    <t xml:space="preserve">Zye028I4O0X</t>
  </si>
  <si>
    <t xml:space="preserve">4-W135</t>
  </si>
  <si>
    <t xml:space="preserve">W135</t>
  </si>
  <si>
    <t xml:space="preserve">Zyi47m24DzS</t>
  </si>
  <si>
    <t xml:space="preserve">P Non typable</t>
  </si>
  <si>
    <t xml:space="preserve">zzbckgSjkPI</t>
  </si>
  <si>
    <t xml:space="preserve">Abyei</t>
  </si>
  <si>
    <t xml:space="preserve">Centroid Admin1</t>
  </si>
  <si>
    <t xml:space="preserve">Alexandria Digital Library</t>
  </si>
  <si>
    <t xml:space="preserve">Active</t>
  </si>
  <si>
    <t xml:space="preserve">Aethina tumida is present in some bordering states of the United States.</t>
  </si>
  <si>
    <t xml:space="preserve">1</t>
  </si>
  <si>
    <t xml:space="preserve">ADT1</t>
  </si>
  <si>
    <t xml:space="preserve">Captive - Amphibians</t>
  </si>
  <si>
    <t xml:space="preserve">Abalones</t>
  </si>
  <si>
    <t xml:space="preserve">Backyard/garden</t>
  </si>
  <si>
    <t xml:space="preserve">Aesculine dihydrolase test</t>
  </si>
  <si>
    <t xml:space="preserve">Afghanistan @ Central Veterinary Diagnostic and Research Laboratory (CVDRL) @ Kabul</t>
  </si>
  <si>
    <t xml:space="preserve">A ban has been placed on livestock and meat products entering or leaving its boundaries</t>
  </si>
  <si>
    <t xml:space="preserve">Afghanistan</t>
  </si>
  <si>
    <t xml:space="preserve">Centroid Admin2</t>
  </si>
  <si>
    <t xml:space="preserve">Astodienst program</t>
  </si>
  <si>
    <t xml:space="preserve">CAHO</t>
  </si>
  <si>
    <t xml:space="preserve">Aethina tumida is present in some bordering states of the United States of America.</t>
  </si>
  <si>
    <t xml:space="preserve">Acarapisosis of honey bees</t>
  </si>
  <si>
    <t xml:space="preserve">10</t>
  </si>
  <si>
    <t xml:space="preserve">Denied</t>
  </si>
  <si>
    <t xml:space="preserve">ADT2</t>
  </si>
  <si>
    <t xml:space="preserve">Captive - Arthropod</t>
  </si>
  <si>
    <t xml:space="preserve">Accipiter gentilis</t>
  </si>
  <si>
    <t xml:space="preserve">Backyard/garden - Bird shop</t>
  </si>
  <si>
    <t xml:space="preserve">Agar-gel immunodiffusion (AGID)</t>
  </si>
  <si>
    <t xml:space="preserve">Afghanistan @ Central diagnostic laboratory @ Kabul</t>
  </si>
  <si>
    <t xml:space="preserve">All animals are aso killed to contain the outbreak</t>
  </si>
  <si>
    <t xml:space="preserve">Aksai Chin</t>
  </si>
  <si>
    <t xml:space="preserve">Centroid Admin3</t>
  </si>
  <si>
    <t xml:space="preserve">CDrom WHO/UNICEF</t>
  </si>
  <si>
    <t xml:space="preserve">GDS</t>
  </si>
  <si>
    <t xml:space="preserve">After eating undercooked infected pork, blood paste</t>
  </si>
  <si>
    <t xml:space="preserve">African horse sickness</t>
  </si>
  <si>
    <t xml:space="preserve">11</t>
  </si>
  <si>
    <t xml:space="preserve">Suspected</t>
  </si>
  <si>
    <t xml:space="preserve">ADT3</t>
  </si>
  <si>
    <t xml:space="preserve">Captive - Birds</t>
  </si>
  <si>
    <t xml:space="preserve">Accipitridae (incognita)</t>
  </si>
  <si>
    <t xml:space="preserve">Backyard/rooftop - Household</t>
  </si>
  <si>
    <t xml:space="preserve">Agar-gel precipitation (AGP)</t>
  </si>
  <si>
    <t xml:space="preserve">Albania @ Veterinary Research Institute in Tirana @ Tirana</t>
  </si>
  <si>
    <t xml:space="preserve">Not Testable</t>
  </si>
  <si>
    <t xml:space="preserve">All the entry of border along the district have been sealed</t>
  </si>
  <si>
    <t xml:space="preserve">Albania</t>
  </si>
  <si>
    <t xml:space="preserve">Centroid Locality</t>
  </si>
  <si>
    <t xml:space="preserve">Collins Maps</t>
  </si>
  <si>
    <t xml:space="preserve">Passive</t>
  </si>
  <si>
    <t xml:space="preserve">After handling the carcass of a sick cow</t>
  </si>
  <si>
    <t xml:space="preserve">African swine fever</t>
  </si>
  <si>
    <t xml:space="preserve">12</t>
  </si>
  <si>
    <t xml:space="preserve">Animal Health Inspector (AHI)</t>
  </si>
  <si>
    <t xml:space="preserve">Captive - Crustaceans</t>
  </si>
  <si>
    <t xml:space="preserve">Accipitridae (unidentified):Accipitridae (incognita)(Accipitridae)</t>
  </si>
  <si>
    <t xml:space="preserve">Backyard/rooftop - Village</t>
  </si>
  <si>
    <t xml:space="preserve">Anatomo-pathological examination</t>
  </si>
  <si>
    <t xml:space="preserve">Algeria @ Central Veterinary Laboratory, Algiers @ Algiers</t>
  </si>
  <si>
    <t xml:space="preserve">Ante and post mortem inspection</t>
  </si>
  <si>
    <t xml:space="preserve">Algeria</t>
  </si>
  <si>
    <t xml:space="preserve">Exact</t>
  </si>
  <si>
    <t xml:space="preserve">Encyclopedia</t>
  </si>
  <si>
    <t xml:space="preserve">PDS</t>
  </si>
  <si>
    <t xml:space="preserve">Airborne spread</t>
  </si>
  <si>
    <t xml:space="preserve">Akabane Disease</t>
  </si>
  <si>
    <t xml:space="preserve">13</t>
  </si>
  <si>
    <t xml:space="preserve">ATO</t>
  </si>
  <si>
    <t xml:space="preserve">Captive - Environmental sample</t>
  </si>
  <si>
    <t xml:space="preserve">African black Oystercatcher (Haematopus moquini)</t>
  </si>
  <si>
    <t xml:space="preserve">Breeding and released for hunting</t>
  </si>
  <si>
    <t xml:space="preserve">Antibody detection ELISA</t>
  </si>
  <si>
    <t xml:space="preserve">Algeria @ Laboratoire Vétérinaire Régional de Tlemcem @ Tlemcem</t>
  </si>
  <si>
    <t xml:space="preserve">Ban all livestock products entering or exiting that farm</t>
  </si>
  <si>
    <t xml:space="preserve">American Samoa</t>
  </si>
  <si>
    <t xml:space="preserve">ESRI Web Site</t>
  </si>
  <si>
    <t xml:space="preserve">Routine</t>
  </si>
  <si>
    <t xml:space="preserve">Animal/dog bite</t>
  </si>
  <si>
    <t xml:space="preserve">Algal bloom of micrcystics</t>
  </si>
  <si>
    <t xml:space="preserve">14</t>
  </si>
  <si>
    <t xml:space="preserve">Central TVLA (TVLA)</t>
  </si>
  <si>
    <t xml:space="preserve">Captive - Fish</t>
  </si>
  <si>
    <t xml:space="preserve">African fish eagle (Haliaeetus vocifer)</t>
  </si>
  <si>
    <t xml:space="preserve">Commercial</t>
  </si>
  <si>
    <t xml:space="preserve">Antigen detection ELISA</t>
  </si>
  <si>
    <t xml:space="preserve">Argentina @ Gerencia de Laboratorios (GELAB) @ Buenos Aires</t>
  </si>
  <si>
    <t xml:space="preserve">Ban of importation of live poultry</t>
  </si>
  <si>
    <t xml:space="preserve">Andorra</t>
  </si>
  <si>
    <t xml:space="preserve">FAO field officer</t>
  </si>
  <si>
    <t xml:space="preserve">Sentinel</t>
  </si>
  <si>
    <t xml:space="preserve">Animals in an area of anthrax-infected fields</t>
  </si>
  <si>
    <t xml:space="preserve">American foulbrood of honey bees</t>
  </si>
  <si>
    <t xml:space="preserve">15</t>
  </si>
  <si>
    <t xml:space="preserve">Central Veterinary Laboratory-Head Office (CVL)</t>
  </si>
  <si>
    <t xml:space="preserve">Captive - Mammal</t>
  </si>
  <si>
    <t xml:space="preserve">African goshawk</t>
  </si>
  <si>
    <t xml:space="preserve">Commercial - Bird shop</t>
  </si>
  <si>
    <t xml:space="preserve">Arginine dihydrolase test</t>
  </si>
  <si>
    <t xml:space="preserve">Argentina @ Instituto de Bacteriología @ Morón- Provincia de Buenos Aires</t>
  </si>
  <si>
    <t xml:space="preserve">Ban of transport of eggs and poultry</t>
  </si>
  <si>
    <t xml:space="preserve">Angola</t>
  </si>
  <si>
    <t xml:space="preserve">FAO Officer</t>
  </si>
  <si>
    <t xml:space="preserve">Animals infected at quarantine</t>
  </si>
  <si>
    <t xml:space="preserve">Amyloodinium spp infection</t>
  </si>
  <si>
    <t xml:space="preserve">16</t>
  </si>
  <si>
    <t xml:space="preserve">Chief Animal health Inspector (CAHI)</t>
  </si>
  <si>
    <t xml:space="preserve">Captive - Mollusks</t>
  </si>
  <si>
    <t xml:space="preserve">African Jacana</t>
  </si>
  <si>
    <t xml:space="preserve">Commercial - Breeding</t>
  </si>
  <si>
    <t xml:space="preserve">Bacteriological examination</t>
  </si>
  <si>
    <t xml:space="preserve">Argentina @ Instituto de Bacteriología, Centro de Investigaciones en Ciencias Veterinarias (CICV), @ Morón- Provincia de Buenos Aires</t>
  </si>
  <si>
    <t xml:space="preserve">Ban on importing live animals and meats</t>
  </si>
  <si>
    <t xml:space="preserve">Anguilla</t>
  </si>
  <si>
    <t xml:space="preserve">GAUL 2007</t>
  </si>
  <si>
    <t xml:space="preserve">Animals in transit</t>
  </si>
  <si>
    <t xml:space="preserve">Anaplasma spp</t>
  </si>
  <si>
    <t xml:space="preserve">17</t>
  </si>
  <si>
    <t xml:space="preserve">CNASA</t>
  </si>
  <si>
    <t xml:space="preserve">Captive - Reptiles</t>
  </si>
  <si>
    <t xml:space="preserve">African masked weaver (Ploceus velatus)</t>
  </si>
  <si>
    <t xml:space="preserve">Commercial - Broiler</t>
  </si>
  <si>
    <t xml:space="preserve">Brucellosis test</t>
  </si>
  <si>
    <t xml:space="preserve">Argentina @ Institutos de Patobiología y Virología, Centro de Investigaciones en Ciencias Veterinarias y Agronómicas (CICVyA) @ Buenos Aires</t>
  </si>
  <si>
    <t xml:space="preserve">Ban on transporting animals</t>
  </si>
  <si>
    <t xml:space="preserve">Antarctica</t>
  </si>
  <si>
    <t xml:space="preserve">Geonames</t>
  </si>
  <si>
    <t xml:space="preserve">Circulation of the virus in the Wild animal</t>
  </si>
  <si>
    <t xml:space="preserve">Anthrax</t>
  </si>
  <si>
    <t xml:space="preserve">18</t>
  </si>
  <si>
    <t xml:space="preserve">Community Animal Health Worker (CAHW)</t>
  </si>
  <si>
    <t xml:space="preserve">Domestic - Amphibians</t>
  </si>
  <si>
    <t xml:space="preserve">African penguin (Spheniscus demersus)</t>
  </si>
  <si>
    <t xml:space="preserve">Commercial - Dairy</t>
  </si>
  <si>
    <t xml:space="preserve">BSE Antigen Test kit</t>
  </si>
  <si>
    <t xml:space="preserve">Argentina @ Laboratorio de Leptospirosis @ Buenos Aires</t>
  </si>
  <si>
    <t xml:space="preserve">Breeders who have lost their pigs to the pandemic are being forced to slaughter their entire herd</t>
  </si>
  <si>
    <t xml:space="preserve">Antigua and Barbuda</t>
  </si>
  <si>
    <t xml:space="preserve">Global Gazetteer Version 2</t>
  </si>
  <si>
    <t xml:space="preserve">Contact after eating infected carcasses</t>
  </si>
  <si>
    <t xml:space="preserve">Arena virus</t>
  </si>
  <si>
    <t xml:space="preserve">19</t>
  </si>
  <si>
    <t xml:space="preserve">DAP</t>
  </si>
  <si>
    <t xml:space="preserve">Domestic - Arthropod</t>
  </si>
  <si>
    <t xml:space="preserve">African Rabbit (Oryctolagus cuniculus)</t>
  </si>
  <si>
    <t xml:space="preserve">Commercial - Dual purpose</t>
  </si>
  <si>
    <t xml:space="preserve">Buffy coat examination</t>
  </si>
  <si>
    <t xml:space="preserve">Argentina @ Malbrán Institute</t>
  </si>
  <si>
    <t xml:space="preserve">Burial</t>
  </si>
  <si>
    <t xml:space="preserve">Argentina</t>
  </si>
  <si>
    <t xml:space="preserve">Google Earth</t>
  </si>
  <si>
    <t xml:space="preserve">Contact with affected animals</t>
  </si>
  <si>
    <t xml:space="preserve">Aspergillosis</t>
  </si>
  <si>
    <t xml:space="preserve">2</t>
  </si>
  <si>
    <t xml:space="preserve">DD/DR</t>
  </si>
  <si>
    <t xml:space="preserve">Domestic - Birds</t>
  </si>
  <si>
    <t xml:space="preserve">African Rail</t>
  </si>
  <si>
    <t xml:space="preserve">Commercial - Fattening</t>
  </si>
  <si>
    <t xml:space="preserve">Butter fat test</t>
  </si>
  <si>
    <t xml:space="preserve">Argentina @ National Agricultural Technology Institute (INTA), Castelar @ Buenos Aires</t>
  </si>
  <si>
    <t xml:space="preserve">Burning</t>
  </si>
  <si>
    <t xml:space="preserve">Armenia</t>
  </si>
  <si>
    <t xml:space="preserve">GPS</t>
  </si>
  <si>
    <t xml:space="preserve">Contact with animals and pigs</t>
  </si>
  <si>
    <t xml:space="preserve">Atkinsiella spp</t>
  </si>
  <si>
    <t xml:space="preserve">20</t>
  </si>
  <si>
    <t xml:space="preserve">Director of Forestry</t>
  </si>
  <si>
    <t xml:space="preserve">Domestic - Crustaceans</t>
  </si>
  <si>
    <t xml:space="preserve">African sacred ibis (Threskiornis aethiopicus)</t>
  </si>
  <si>
    <t xml:space="preserve">Commercial - Free range</t>
  </si>
  <si>
    <t xml:space="preserve">Calcium test in feed</t>
  </si>
  <si>
    <t xml:space="preserve">Argentina @ National Institute of Human Viral Diseases "Dr. Julio I. Maistegui" @ Buenos Aires</t>
  </si>
  <si>
    <t xml:space="preserve">Carry out in all markets and shops in Bishkek where meat and other livestock products are sold</t>
  </si>
  <si>
    <t xml:space="preserve">Aruba</t>
  </si>
  <si>
    <t xml:space="preserve">Map</t>
  </si>
  <si>
    <t xml:space="preserve">Contact with animals at market/slaughterhouses</t>
  </si>
  <si>
    <t xml:space="preserve">Atresia Ani</t>
  </si>
  <si>
    <t xml:space="preserve">21</t>
  </si>
  <si>
    <t xml:space="preserve">Director of Livestock and Veterinary Services</t>
  </si>
  <si>
    <t xml:space="preserve">Domestic - Environmental sample</t>
  </si>
  <si>
    <t xml:space="preserve">African Yellow White-eye</t>
  </si>
  <si>
    <t xml:space="preserve">Commercial - Game farm</t>
  </si>
  <si>
    <t xml:space="preserve">Carbohydrate fermintation test</t>
  </si>
  <si>
    <t xml:space="preserve">Argentina @ Servicio national de sanidad e qualidad agroalimentaria (SENASA)</t>
  </si>
  <si>
    <t xml:space="preserve">Cleaning</t>
  </si>
  <si>
    <t xml:space="preserve">Arunachal Pradesh</t>
  </si>
  <si>
    <t xml:space="preserve">maplandia.com</t>
  </si>
  <si>
    <t xml:space="preserve">Contact with asymptomatic animals</t>
  </si>
  <si>
    <t xml:space="preserve">Atrophic Rhinitis (AR)</t>
  </si>
  <si>
    <t xml:space="preserve">22</t>
  </si>
  <si>
    <t xml:space="preserve">District Agriculture Officer (DAO)</t>
  </si>
  <si>
    <t xml:space="preserve">Domestic - Fish</t>
  </si>
  <si>
    <t xml:space="preserve">Allen's gallinule</t>
  </si>
  <si>
    <t xml:space="preserve">Commercial - Hatchery</t>
  </si>
  <si>
    <t xml:space="preserve">Casein hydrolysis test</t>
  </si>
  <si>
    <t xml:space="preserve">Argentina @ Zoonosis Institute "Dr Luis Pasteur", Buenos Aires @ Buenos Aires</t>
  </si>
  <si>
    <t xml:space="preserve">Closure of livestock markets</t>
  </si>
  <si>
    <t xml:space="preserve">Ashmore and Cartier Islands</t>
  </si>
  <si>
    <t xml:space="preserve">National Government</t>
  </si>
  <si>
    <t xml:space="preserve">Contact with backyard poultry</t>
  </si>
  <si>
    <t xml:space="preserve">Aujeszky's disease</t>
  </si>
  <si>
    <t xml:space="preserve">23</t>
  </si>
  <si>
    <t xml:space="preserve">DLO1</t>
  </si>
  <si>
    <t xml:space="preserve">Domestic - Mammal</t>
  </si>
  <si>
    <t xml:space="preserve">Alpaca</t>
  </si>
  <si>
    <t xml:space="preserve">Commercial - Layer</t>
  </si>
  <si>
    <t xml:space="preserve">Catalase test</t>
  </si>
  <si>
    <t xml:space="preserve">Armenia @ National Laboratory of Armenia</t>
  </si>
  <si>
    <t xml:space="preserve">Closure of slaughtering premises</t>
  </si>
  <si>
    <t xml:space="preserve">Australia</t>
  </si>
  <si>
    <t xml:space="preserve">NIMA</t>
  </si>
  <si>
    <t xml:space="preserve">Contact with chicken eggs</t>
  </si>
  <si>
    <t xml:space="preserve">Avian chlamydiosis</t>
  </si>
  <si>
    <t xml:space="preserve">24</t>
  </si>
  <si>
    <t xml:space="preserve">DLO2</t>
  </si>
  <si>
    <t xml:space="preserve">Domestic - Mollusks</t>
  </si>
  <si>
    <t xml:space="preserve">American badger</t>
  </si>
  <si>
    <t xml:space="preserve">Commercial - Live market</t>
  </si>
  <si>
    <t xml:space="preserve">Centrifugation test</t>
  </si>
  <si>
    <t xml:space="preserve">Armenia @ Republican Veterinary Antiepizootic and Diagnostic Center (national laboratory) - Armenia</t>
  </si>
  <si>
    <t xml:space="preserve">Closure of the shop</t>
  </si>
  <si>
    <t xml:space="preserve">Austria</t>
  </si>
  <si>
    <t xml:space="preserve">OIE</t>
  </si>
  <si>
    <t xml:space="preserve">Contact with contaminated farming equipment, vehicles, clothing, or feed</t>
  </si>
  <si>
    <t xml:space="preserve">Avian infectious bronchitis</t>
  </si>
  <si>
    <t xml:space="preserve">3</t>
  </si>
  <si>
    <t xml:space="preserve">DNSV</t>
  </si>
  <si>
    <t xml:space="preserve">Domestic - Reptiles</t>
  </si>
  <si>
    <t xml:space="preserve">American Crow (Corvus Brachyrhynchos)</t>
  </si>
  <si>
    <t xml:space="preserve">Commercial - Meat</t>
  </si>
  <si>
    <t xml:space="preserve">Citrate testVoges proskaeur test</t>
  </si>
  <si>
    <t xml:space="preserve">Australia @ Asia Pacific Center for Animal Health (APCAH) @ Melbourne</t>
  </si>
  <si>
    <t xml:space="preserve">Confiscation</t>
  </si>
  <si>
    <t xml:space="preserve">Azerbaijan</t>
  </si>
  <si>
    <t xml:space="preserve">Contact with dead backyard poultry</t>
  </si>
  <si>
    <t xml:space="preserve">Avian infectious laryngotracheitis</t>
  </si>
  <si>
    <t xml:space="preserve">4</t>
  </si>
  <si>
    <t xml:space="preserve">DPASV</t>
  </si>
  <si>
    <t xml:space="preserve">Wild - Amphibians</t>
  </si>
  <si>
    <t xml:space="preserve">American Green-winged teal</t>
  </si>
  <si>
    <t xml:space="preserve">Commercial - Parent stock</t>
  </si>
  <si>
    <t xml:space="preserve">Coagulate test</t>
  </si>
  <si>
    <t xml:space="preserve">Australia @ Australian Animal Health Laboratory (AAHL), Geelong VIC 3220, Australia</t>
  </si>
  <si>
    <t xml:space="preserve">Control of arthropods</t>
  </si>
  <si>
    <t xml:space="preserve">Azores Islands</t>
  </si>
  <si>
    <t xml:space="preserve">Times Atlas of the World</t>
  </si>
  <si>
    <t xml:space="preserve">Contact with dead poultry</t>
  </si>
  <si>
    <t xml:space="preserve">Avian mycoplasmosis (M. gallisepticum)</t>
  </si>
  <si>
    <t xml:space="preserve">5</t>
  </si>
  <si>
    <t xml:space="preserve">DVL</t>
  </si>
  <si>
    <t xml:space="preserve">Wild - Arthropod</t>
  </si>
  <si>
    <t xml:space="preserve">American Oystercatcher</t>
  </si>
  <si>
    <t xml:space="preserve">Commercial - Village</t>
  </si>
  <si>
    <t xml:space="preserve">Coggin's test</t>
  </si>
  <si>
    <t xml:space="preserve">Australia @ Australian Animal Health Laboratory, Geelong (National laboratory)</t>
  </si>
  <si>
    <t xml:space="preserve">Control of Vectors</t>
  </si>
  <si>
    <t xml:space="preserve">Bahamas</t>
  </si>
  <si>
    <t xml:space="preserve">Wikipédia</t>
  </si>
  <si>
    <t xml:space="preserve">Contact with humans</t>
  </si>
  <si>
    <t xml:space="preserve">Avian mycoplasmosis (M. synoviae)</t>
  </si>
  <si>
    <t xml:space="preserve">6</t>
  </si>
  <si>
    <t xml:space="preserve">DVO1</t>
  </si>
  <si>
    <t xml:space="preserve">Wild - Birds</t>
  </si>
  <si>
    <t xml:space="preserve">American White Pelican (Pelecanus erythrorhynchos):Pelecanidae-Phaethontiformes</t>
  </si>
  <si>
    <t xml:space="preserve">Commercial - Wool / Hair</t>
  </si>
  <si>
    <t xml:space="preserve">Competitive ELISA (c-ELISA)</t>
  </si>
  <si>
    <t xml:space="preserve">Australia @ Australian Quarantine and Inspection Service-AQIS</t>
  </si>
  <si>
    <t xml:space="preserve">Control of wildlife reservoirs</t>
  </si>
  <si>
    <t xml:space="preserve">Bahrain</t>
  </si>
  <si>
    <t xml:space="preserve">Contact with infected animal at grazing/watering</t>
  </si>
  <si>
    <t xml:space="preserve">Avian mycoplasmosis (M. synsheepae)</t>
  </si>
  <si>
    <t xml:space="preserve">7</t>
  </si>
  <si>
    <t xml:space="preserve">DVO2</t>
  </si>
  <si>
    <t xml:space="preserve">Wild - Crustaceans</t>
  </si>
  <si>
    <t xml:space="preserve">American wigeon</t>
  </si>
  <si>
    <t xml:space="preserve">Hunting bird</t>
  </si>
  <si>
    <t xml:space="preserve">Complement fixation test (CFT)</t>
  </si>
  <si>
    <t xml:space="preserve">Australia @ Berrimah Veterinary Laboratories</t>
  </si>
  <si>
    <t xml:space="preserve">Coordination with local authorities</t>
  </si>
  <si>
    <t xml:space="preserve">Baker Island</t>
  </si>
  <si>
    <t xml:space="preserve">Contact with infected animals</t>
  </si>
  <si>
    <t xml:space="preserve">Avian tuberculosis</t>
  </si>
  <si>
    <t xml:space="preserve">8</t>
  </si>
  <si>
    <t xml:space="preserve">DVO3</t>
  </si>
  <si>
    <t xml:space="preserve">Wild - Environmental sample</t>
  </si>
  <si>
    <t xml:space="preserve">Amur Tiger</t>
  </si>
  <si>
    <t xml:space="preserve">Pet</t>
  </si>
  <si>
    <t xml:space="preserve">Culture for Mycoplasma</t>
  </si>
  <si>
    <t xml:space="preserve">Australia @ CSIRO Animal Production @ Geelong</t>
  </si>
  <si>
    <t xml:space="preserve">Culling</t>
  </si>
  <si>
    <t xml:space="preserve">Bangladesh</t>
  </si>
  <si>
    <t xml:space="preserve">Contact with infected animal (s)</t>
  </si>
  <si>
    <t xml:space="preserve">Babesia spp</t>
  </si>
  <si>
    <t xml:space="preserve">9</t>
  </si>
  <si>
    <t xml:space="preserve">DVS</t>
  </si>
  <si>
    <t xml:space="preserve">Wild - Fish</t>
  </si>
  <si>
    <t xml:space="preserve">Anatidae (incognita)</t>
  </si>
  <si>
    <t xml:space="preserve">Rehabilitation center</t>
  </si>
  <si>
    <t xml:space="preserve">Det Birbright</t>
  </si>
  <si>
    <t xml:space="preserve">Australia @ Commonwealth Scientific and Industrial Research organisation  -Australian Animal Health Laboratory @ Geelong</t>
  </si>
  <si>
    <t xml:space="preserve">Culling of affected animals only</t>
  </si>
  <si>
    <t xml:space="preserve">Barbados</t>
  </si>
  <si>
    <t xml:space="preserve">Contact with infected area</t>
  </si>
  <si>
    <t xml:space="preserve">Bacterial Enteric Diseases</t>
  </si>
  <si>
    <t xml:space="preserve">EC</t>
  </si>
  <si>
    <t xml:space="preserve">Wild - Mammal</t>
  </si>
  <si>
    <t xml:space="preserve">Anser caerulescens: ( snow goose )</t>
  </si>
  <si>
    <t xml:space="preserve">Smallholder</t>
  </si>
  <si>
    <t xml:space="preserve">Direct fluorescent antibody (FAT) test</t>
  </si>
  <si>
    <t xml:space="preserve">Australia @ Elizabeth Macarthur Agriculture Institute (EMAI)Virology Laboratory @ Narellan</t>
  </si>
  <si>
    <t xml:space="preserve">Destruction</t>
  </si>
  <si>
    <t xml:space="preserve">Bassas da India</t>
  </si>
  <si>
    <t xml:space="preserve">Contact with live poultry in a market</t>
  </si>
  <si>
    <t xml:space="preserve">Bacterial kidney disease (Renibacterium salmoninarum)</t>
  </si>
  <si>
    <t xml:space="preserve">APMV-I</t>
  </si>
  <si>
    <t xml:space="preserve">EIOS</t>
  </si>
  <si>
    <t xml:space="preserve">Wild - Mollusks</t>
  </si>
  <si>
    <t xml:space="preserve">Anserinae (unidentified):Anserinae (incognita)(Anatidae)</t>
  </si>
  <si>
    <t xml:space="preserve">Smallholder - Breeding</t>
  </si>
  <si>
    <t xml:space="preserve">Direct immunofluorescence (DIF)</t>
  </si>
  <si>
    <t xml:space="preserve">Australia @ University of Queensland @ Queensland</t>
  </si>
  <si>
    <t xml:space="preserve">Destruction of carcasses</t>
  </si>
  <si>
    <t xml:space="preserve">Belarus</t>
  </si>
  <si>
    <t xml:space="preserve">Contact with poultry</t>
  </si>
  <si>
    <t xml:space="preserve">Bacterial Meningitis</t>
  </si>
  <si>
    <t xml:space="preserve">Asia 1</t>
  </si>
  <si>
    <t xml:space="preserve">Epi Unit (DVS)</t>
  </si>
  <si>
    <t xml:space="preserve">Wild - Reptiles</t>
  </si>
  <si>
    <t xml:space="preserve">Antelope</t>
  </si>
  <si>
    <t xml:space="preserve">Smallholder - Dairy</t>
  </si>
  <si>
    <t xml:space="preserve">Direct rapid immunohistochemical test (DRIT)</t>
  </si>
  <si>
    <t xml:space="preserve">Austria @ Austrian Agency for Health and Food Safety (AGES) @ Vienna</t>
  </si>
  <si>
    <t xml:space="preserve">Dipping / Spraying</t>
  </si>
  <si>
    <t xml:space="preserve">Belgium</t>
  </si>
  <si>
    <t xml:space="preserve">Contact with poultry production</t>
  </si>
  <si>
    <t xml:space="preserve">Bactrial necrosis/shell disease Filamentous bacterial diseases</t>
  </si>
  <si>
    <t xml:space="preserve">FAO ECTAD RAF</t>
  </si>
  <si>
    <t xml:space="preserve">Antillean manatee (Trichecus manatus manatus)</t>
  </si>
  <si>
    <t xml:space="preserve">Smallholder - Dual purpose</t>
  </si>
  <si>
    <t xml:space="preserve">Direct smear examination</t>
  </si>
  <si>
    <t xml:space="preserve">Austria @ FAO/IAEA Central Laboratory for ELISA and Molecular Techniques in Animal Disease Diagnosis</t>
  </si>
  <si>
    <t xml:space="preserve">Disinfection</t>
  </si>
  <si>
    <t xml:space="preserve">Belize</t>
  </si>
  <si>
    <t xml:space="preserve">Contact with poultry raised in the neighbourhood.</t>
  </si>
  <si>
    <t xml:space="preserve">Baculovirus infection</t>
  </si>
  <si>
    <t xml:space="preserve">H10N3 LPAI</t>
  </si>
  <si>
    <t xml:space="preserve">FAO Field Officer</t>
  </si>
  <si>
    <t xml:space="preserve">Apis mellifera litorea</t>
  </si>
  <si>
    <t xml:space="preserve">Smallholder - Meat</t>
  </si>
  <si>
    <t xml:space="preserve">Egg inoculaton</t>
  </si>
  <si>
    <t xml:space="preserve">Azerbaijan @ National Laboratory, Bakou @ Bakou</t>
  </si>
  <si>
    <t xml:space="preserve">Disinfection / Disinfestation</t>
  </si>
  <si>
    <t xml:space="preserve">Benin</t>
  </si>
  <si>
    <t xml:space="preserve">Contact with quails' eggs</t>
  </si>
  <si>
    <t xml:space="preserve">Batrachochytrium dendrobatidis</t>
  </si>
  <si>
    <t xml:space="preserve">H10N7 LPAI</t>
  </si>
  <si>
    <t xml:space="preserve">FAO officer</t>
  </si>
  <si>
    <t xml:space="preserve">Arctic skua (or parasitic jaeger)</t>
  </si>
  <si>
    <t xml:space="preserve">Smallholder - Wool / Hair</t>
  </si>
  <si>
    <t xml:space="preserve">Electroimmunotransfer blot assay (EITB)</t>
  </si>
  <si>
    <t xml:space="preserve">Azerbaijan @ Reference Veterinary Laboratory</t>
  </si>
  <si>
    <t xml:space="preserve">Education, Information and Communication</t>
  </si>
  <si>
    <t xml:space="preserve">Bermuda</t>
  </si>
  <si>
    <t xml:space="preserve">Contact with sick and dead poultry</t>
  </si>
  <si>
    <t xml:space="preserve">Beetles</t>
  </si>
  <si>
    <t xml:space="preserve">H10N8 LPAI</t>
  </si>
  <si>
    <t xml:space="preserve">FAO-Report</t>
  </si>
  <si>
    <t xml:space="preserve">Arctic tern (Sterna paradisea)</t>
  </si>
  <si>
    <t xml:space="preserve">Zoo</t>
  </si>
  <si>
    <t xml:space="preserve">Electron microscopy</t>
  </si>
  <si>
    <t xml:space="preserve">Azerbaijan @ Republic Veterinary Laboratory</t>
  </si>
  <si>
    <t xml:space="preserve">Exposure to sick and dead poultry</t>
  </si>
  <si>
    <t xml:space="preserve">Bhutan</t>
  </si>
  <si>
    <t xml:space="preserve">Contact with sick and/or dead poultry</t>
  </si>
  <si>
    <t xml:space="preserve">Blackleg</t>
  </si>
  <si>
    <t xml:space="preserve">H1N1</t>
  </si>
  <si>
    <t xml:space="preserve">Ghana Health Service</t>
  </si>
  <si>
    <t xml:space="preserve">Ardeidae (unspecified)</t>
  </si>
  <si>
    <t xml:space="preserve">ELISA 3ABC</t>
  </si>
  <si>
    <t xml:space="preserve">Azerbaijan @ State Veterinary Laboratory, Baku @ Baku</t>
  </si>
  <si>
    <t xml:space="preserve">Exposure to sick and/or dead poultry</t>
  </si>
  <si>
    <t xml:space="preserve">Bird Island</t>
  </si>
  <si>
    <t xml:space="preserve">Contact with sick animals</t>
  </si>
  <si>
    <t xml:space="preserve">Bluetongue</t>
  </si>
  <si>
    <t xml:space="preserve">H1N2</t>
  </si>
  <si>
    <t xml:space="preserve">GLEWS officer</t>
  </si>
  <si>
    <t xml:space="preserve">Arenaria interpres</t>
  </si>
  <si>
    <t xml:space="preserve">Entomological investigations</t>
  </si>
  <si>
    <t xml:space="preserve">Bahrain @ National Veterinary Diagnostic Laboratory (Bahrain)</t>
  </si>
  <si>
    <t xml:space="preserve">Exposure to sick or dead poultry</t>
  </si>
  <si>
    <t xml:space="preserve">Bolivia (Plurinational State of)</t>
  </si>
  <si>
    <t xml:space="preserve">Contact with sick or dead animals</t>
  </si>
  <si>
    <t xml:space="preserve">Bonamia exitiosa</t>
  </si>
  <si>
    <t xml:space="preserve">H2N2 LPAI</t>
  </si>
  <si>
    <t xml:space="preserve">GPHIN</t>
  </si>
  <si>
    <t xml:space="preserve">Armenian gull (Larus armenicus)</t>
  </si>
  <si>
    <t xml:space="preserve">Enzyme-linked immunosorbent assay (ELISA)</t>
  </si>
  <si>
    <t xml:space="preserve">Bangladesh @ Bangladesh Livestock Research Institute @ Dhaka</t>
  </si>
  <si>
    <t xml:space="preserve">Flooding associated with mosquito multiplication</t>
  </si>
  <si>
    <t xml:space="preserve">Bosnia and Herzegovina</t>
  </si>
  <si>
    <t xml:space="preserve">Contact with sick poultry</t>
  </si>
  <si>
    <t xml:space="preserve">Bonamia ostreae</t>
  </si>
  <si>
    <t xml:space="preserve">H3 LPAI</t>
  </si>
  <si>
    <t xml:space="preserve">Health Map</t>
  </si>
  <si>
    <t xml:space="preserve">Asian Golden Weaver</t>
  </si>
  <si>
    <t xml:space="preserve">Enzym immunoassay (EIA) membrane test</t>
  </si>
  <si>
    <t xml:space="preserve">Bangladesh @ Bangladesh Livestock Research Institute, Bangladesh</t>
  </si>
  <si>
    <t xml:space="preserve">General Surveillance</t>
  </si>
  <si>
    <t xml:space="preserve">Botswana</t>
  </si>
  <si>
    <t xml:space="preserve">Contact with sick or dead poultry</t>
  </si>
  <si>
    <t xml:space="preserve">Botulism</t>
  </si>
  <si>
    <t xml:space="preserve">H3N1</t>
  </si>
  <si>
    <t xml:space="preserve">International reference laboratory</t>
  </si>
  <si>
    <t xml:space="preserve">Asian Openbill</t>
  </si>
  <si>
    <t xml:space="preserve">Floatation test</t>
  </si>
  <si>
    <t xml:space="preserve">Bangladesh @ Central Disease Investigation Laboratory @ Dhaka</t>
  </si>
  <si>
    <t xml:space="preserve">Implement capture of vampire bats</t>
  </si>
  <si>
    <t xml:space="preserve">Bouvet Island</t>
  </si>
  <si>
    <t xml:space="preserve">Contact with spores in the soil</t>
  </si>
  <si>
    <t xml:space="preserve">Bovine anaplasmosis</t>
  </si>
  <si>
    <t xml:space="preserve">H3N1 LPAI</t>
  </si>
  <si>
    <t xml:space="preserve">LANADA</t>
  </si>
  <si>
    <t xml:space="preserve">Asiatic golden cat (Catopuma temminckii)</t>
  </si>
  <si>
    <t xml:space="preserve">Fluorescent antibody virus</t>
  </si>
  <si>
    <t xml:space="preserve">Bangladesh @ Field Disease Investigation Laboratory, Gaibandha @ Gaibandha</t>
  </si>
  <si>
    <t xml:space="preserve">Imposure of a ban of consumption</t>
  </si>
  <si>
    <t xml:space="preserve">Brazil</t>
  </si>
  <si>
    <t xml:space="preserve">Contact with wild birds</t>
  </si>
  <si>
    <t xml:space="preserve">Bovine babesiosis</t>
  </si>
  <si>
    <t xml:space="preserve">H3N2</t>
  </si>
  <si>
    <t xml:space="preserve">LCV</t>
  </si>
  <si>
    <t xml:space="preserve">Baboon</t>
  </si>
  <si>
    <t xml:space="preserve">FMDV  NON- Structural Proteins</t>
  </si>
  <si>
    <t xml:space="preserve">Bangladesh @ Field Disease Investigation Laboratory, Joypurhat @ Joypurhat</t>
  </si>
  <si>
    <t xml:space="preserve">Isolation of the affected animal</t>
  </si>
  <si>
    <t xml:space="preserve">British Indian Ocean Territory</t>
  </si>
  <si>
    <t xml:space="preserve">Contact with wildlife</t>
  </si>
  <si>
    <t xml:space="preserve">Bovine cysticercosis</t>
  </si>
  <si>
    <t xml:space="preserve">H3N8</t>
  </si>
  <si>
    <t xml:space="preserve">Livestock Assistant</t>
  </si>
  <si>
    <t xml:space="preserve">Bactrian camel (Camelus bactrianus)</t>
  </si>
  <si>
    <t xml:space="preserve">FMDV  Structural Proteins</t>
  </si>
  <si>
    <t xml:space="preserve">Bangladesh @ Institut of Epidemiology Disease Central and Research (IEDCR)</t>
  </si>
  <si>
    <t xml:space="preserve">Isolation of the affected area</t>
  </si>
  <si>
    <t xml:space="preserve">British Virgin Islands</t>
  </si>
  <si>
    <t xml:space="preserve">Contact with wild species</t>
  </si>
  <si>
    <t xml:space="preserve">Bovine genital campylobacteriosis</t>
  </si>
  <si>
    <t xml:space="preserve">H3N8 HPAI</t>
  </si>
  <si>
    <t xml:space="preserve">Livestock Inspector</t>
  </si>
  <si>
    <t xml:space="preserve">Badger</t>
  </si>
  <si>
    <t xml:space="preserve">Fuorescence polarisation assay (FPA)</t>
  </si>
  <si>
    <t xml:space="preserve">Belgium @ CARVA @ Liège</t>
  </si>
  <si>
    <t xml:space="preserve">Maintain strict control of slaughter, sale, movement of poultry and poultry products in the communes</t>
  </si>
  <si>
    <t xml:space="preserve">Brunei Darussalam</t>
  </si>
  <si>
    <t xml:space="preserve">Contaminated animal products</t>
  </si>
  <si>
    <t xml:space="preserve">Bovine spongiform encephalopathy</t>
  </si>
  <si>
    <t xml:space="preserve">H3N8 LPAI</t>
  </si>
  <si>
    <t xml:space="preserve">Livestock officer</t>
  </si>
  <si>
    <t xml:space="preserve">Baillon's Crake</t>
  </si>
  <si>
    <t xml:space="preserve">Gelatin hydrolysis test</t>
  </si>
  <si>
    <t xml:space="preserve">Belgium @ CER MARLOIE @ Namur</t>
  </si>
  <si>
    <t xml:space="preserve">Modified stamping out</t>
  </si>
  <si>
    <t xml:space="preserve">Bulgaria</t>
  </si>
  <si>
    <t xml:space="preserve">Contaminated manure</t>
  </si>
  <si>
    <t xml:space="preserve">Bovine tuberculosis</t>
  </si>
  <si>
    <t xml:space="preserve">H5 HPAI</t>
  </si>
  <si>
    <t xml:space="preserve">Management Information Systems (MIS)</t>
  </si>
  <si>
    <t xml:space="preserve">Bald Eagle (Haliaeetus Leucocephalus)</t>
  </si>
  <si>
    <t xml:space="preserve">Gene sequencing</t>
  </si>
  <si>
    <t xml:space="preserve">Belgium @ Centre d'’Etudes et de Recherches Vétérinaires et Agrochimiques de Ukkel @ Brussels</t>
  </si>
  <si>
    <t xml:space="preserve">Monitoring</t>
  </si>
  <si>
    <t xml:space="preserve">Burkina Faso</t>
  </si>
  <si>
    <t xml:space="preserve">Direct contact with secretions from diseased pigs via open wounds or respiratory tracts</t>
  </si>
  <si>
    <t xml:space="preserve">Bovine viral diarrhoea</t>
  </si>
  <si>
    <t xml:space="preserve">H5 LPAI</t>
  </si>
  <si>
    <t xml:space="preserve">Media</t>
  </si>
  <si>
    <t xml:space="preserve">Banteng (Bos javanicus)</t>
  </si>
  <si>
    <t xml:space="preserve">Giemsa staining</t>
  </si>
  <si>
    <t xml:space="preserve">Belgium @ De Clercq Kris</t>
  </si>
  <si>
    <t xml:space="preserve">Movement control inside the country</t>
  </si>
  <si>
    <t xml:space="preserve">Burundi</t>
  </si>
  <si>
    <t xml:space="preserve">Direct or indirect exposure to swine</t>
  </si>
  <si>
    <t xml:space="preserve">Brucellosis</t>
  </si>
  <si>
    <t xml:space="preserve">H5N1 HPAI</t>
  </si>
  <si>
    <t xml:space="preserve">NADDEC</t>
  </si>
  <si>
    <t xml:space="preserve">Bar-breasted Firefinch</t>
  </si>
  <si>
    <t xml:space="preserve">Gluconate test</t>
  </si>
  <si>
    <t xml:space="preserve">Belgium @ Pasteur Institute</t>
  </si>
  <si>
    <t xml:space="preserve">Movement control of animals in and out of the locality</t>
  </si>
  <si>
    <t xml:space="preserve">Cabo Verde</t>
  </si>
  <si>
    <t xml:space="preserve">Dropping for fiente</t>
  </si>
  <si>
    <t xml:space="preserve">Brucellosis (Brucella abortus)</t>
  </si>
  <si>
    <t xml:space="preserve">H5N1 LPAI</t>
  </si>
  <si>
    <t xml:space="preserve">National authorities</t>
  </si>
  <si>
    <t xml:space="preserve">Bar-Headed Goose</t>
  </si>
  <si>
    <t xml:space="preserve">Gram staining</t>
  </si>
  <si>
    <t xml:space="preserve">Belgium @ Prince Leopold Institute of Tropical Medicine (ITM) @ Antwerp</t>
  </si>
  <si>
    <t xml:space="preserve">No action</t>
  </si>
  <si>
    <t xml:space="preserve">Cambodia</t>
  </si>
  <si>
    <t xml:space="preserve">Environmental contamination</t>
  </si>
  <si>
    <t xml:space="preserve">Brucellosis (Brucella melitensis)</t>
  </si>
  <si>
    <t xml:space="preserve">H5N2 HPAI</t>
  </si>
  <si>
    <t xml:space="preserve">National Institute for Communicable Diseases, NICD</t>
  </si>
  <si>
    <t xml:space="preserve">Barnacle Goose:Branta leucopsis(Anatidae)</t>
  </si>
  <si>
    <t xml:space="preserve">Haemagglutination (HA) test</t>
  </si>
  <si>
    <t xml:space="preserve">Belgium @ Veterinary and Agrochemical Research Centre</t>
  </si>
  <si>
    <t xml:space="preserve">Notifiable disease</t>
  </si>
  <si>
    <t xml:space="preserve">Cameroon</t>
  </si>
  <si>
    <t xml:space="preserve">Exposed to swine on the job</t>
  </si>
  <si>
    <t xml:space="preserve">Brucellosis (Brucella suis)</t>
  </si>
  <si>
    <t xml:space="preserve">H5N2 LPAI</t>
  </si>
  <si>
    <t xml:space="preserve">Barn owl (Tyto alba)</t>
  </si>
  <si>
    <t xml:space="preserve">Haemagglutination inhibition test (HIT)</t>
  </si>
  <si>
    <t xml:space="preserve">Belgium @ Veterinary and Agrochemical Research Centre VAR (CODA-CERVA) @ Brussels</t>
  </si>
  <si>
    <t xml:space="preserve">No treatment of affected animals</t>
  </si>
  <si>
    <t xml:space="preserve">Canada</t>
  </si>
  <si>
    <t xml:space="preserve">Exposure  to a potentially contaminated environment</t>
  </si>
  <si>
    <t xml:space="preserve">Camelpox</t>
  </si>
  <si>
    <t xml:space="preserve">H5N3 HPAI</t>
  </si>
  <si>
    <t xml:space="preserve">Barn Swallow</t>
  </si>
  <si>
    <t xml:space="preserve">Histological test</t>
  </si>
  <si>
    <t xml:space="preserve">Belize @ LADIVES (Laboratory for vesicular diseases)</t>
  </si>
  <si>
    <t xml:space="preserve">No vaccination</t>
  </si>
  <si>
    <t xml:space="preserve">Cayman Islands</t>
  </si>
  <si>
    <t xml:space="preserve">Campylobacteriosis</t>
  </si>
  <si>
    <t xml:space="preserve">H5N3 LPAI</t>
  </si>
  <si>
    <t xml:space="preserve">Prevent transport and poultry product out of the region</t>
  </si>
  <si>
    <t xml:space="preserve">Barred owl (Strix varia)</t>
  </si>
  <si>
    <t xml:space="preserve">Histopathological examination</t>
  </si>
  <si>
    <t xml:space="preserve">Belize @ National Veterinary Services Laboratory (Belize)</t>
  </si>
  <si>
    <t xml:space="preserve">Official destruction of animal products</t>
  </si>
  <si>
    <t xml:space="preserve">Central African Republic</t>
  </si>
  <si>
    <t xml:space="preserve">Fomites (humans, vehicles, feed, etc.)</t>
  </si>
  <si>
    <t xml:space="preserve">Canine distemper</t>
  </si>
  <si>
    <t xml:space="preserve">H5N4 HPAI</t>
  </si>
  <si>
    <t xml:space="preserve">Provincial Veterinary Officer (PVO)</t>
  </si>
  <si>
    <t xml:space="preserve">Bat</t>
  </si>
  <si>
    <t xml:space="preserve">IgG</t>
  </si>
  <si>
    <t xml:space="preserve">Benin @ Laboratoire Vétérinaire de Parakou @ Parakou</t>
  </si>
  <si>
    <t xml:space="preserve">Official disposal of carcasses, by-products and waste</t>
  </si>
  <si>
    <t xml:space="preserve">Chad</t>
  </si>
  <si>
    <t xml:space="preserve">Food leftovers</t>
  </si>
  <si>
    <t xml:space="preserve">Caprine arthritis/encephalitis</t>
  </si>
  <si>
    <t xml:space="preserve">H5N5 HPAI</t>
  </si>
  <si>
    <t xml:space="preserve">Publications</t>
  </si>
  <si>
    <t xml:space="preserve">Bat eating lizard</t>
  </si>
  <si>
    <t xml:space="preserve">IgG-capture ELISA</t>
  </si>
  <si>
    <t xml:space="preserve">Benin @ Laboratoire de Diagnostic Vétérinaire et de Sérosurveillance de Parakou (LADISERO) @ Parakou</t>
  </si>
  <si>
    <t xml:space="preserve">Officials deployed to prevent traders from sending birds outside</t>
  </si>
  <si>
    <t xml:space="preserve">Chile</t>
  </si>
  <si>
    <t xml:space="preserve">Hematophagous bats</t>
  </si>
  <si>
    <t xml:space="preserve">Cat flue</t>
  </si>
  <si>
    <t xml:space="preserve">H5N5 LPAI</t>
  </si>
  <si>
    <t xml:space="preserve">Quarantine Officer</t>
  </si>
  <si>
    <t xml:space="preserve">Baya Weaver</t>
  </si>
  <si>
    <t xml:space="preserve">IgM</t>
  </si>
  <si>
    <t xml:space="preserve">Benin @ National Laboratory</t>
  </si>
  <si>
    <t xml:space="preserve">Participatory Disease Search</t>
  </si>
  <si>
    <t xml:space="preserve">China</t>
  </si>
  <si>
    <t xml:space="preserve">Illegal movement of animals</t>
  </si>
  <si>
    <t xml:space="preserve">Channel catfish virus disease</t>
  </si>
  <si>
    <t xml:space="preserve">H5N6 HPAI</t>
  </si>
  <si>
    <t xml:space="preserve">RVO</t>
  </si>
  <si>
    <t xml:space="preserve">Bean goose (Anser fabalis)</t>
  </si>
  <si>
    <t xml:space="preserve">IgM-capture ELISA</t>
  </si>
  <si>
    <t xml:space="preserve">Bhutan @ National Centre for Animal Health</t>
  </si>
  <si>
    <t xml:space="preserve">People who came in contact with infected cattle are receiving preventive therapy</t>
  </si>
  <si>
    <t xml:space="preserve">China, Hong Kong SAR</t>
  </si>
  <si>
    <t xml:space="preserve">Imported stallion</t>
  </si>
  <si>
    <t xml:space="preserve">Chill brood</t>
  </si>
  <si>
    <t xml:space="preserve">H5N6 LPAI</t>
  </si>
  <si>
    <t xml:space="preserve">sequence only</t>
  </si>
  <si>
    <t xml:space="preserve">Beaver (Castor)</t>
  </si>
  <si>
    <t xml:space="preserve">Immune electron microscopy</t>
  </si>
  <si>
    <t xml:space="preserve">Bolivia (Plurinational State of) @ Laboratorio de Investigación y Diagnóstico Veterinario</t>
  </si>
  <si>
    <t xml:space="preserve">Potential contact with wildlife</t>
  </si>
  <si>
    <t xml:space="preserve">China/India</t>
  </si>
  <si>
    <t xml:space="preserve">Import of live animals</t>
  </si>
  <si>
    <t xml:space="preserve">Chondrococcus columnaris/fins erosion</t>
  </si>
  <si>
    <t xml:space="preserve">H5N8 HPAI</t>
  </si>
  <si>
    <t xml:space="preserve">Surveillance Officer</t>
  </si>
  <si>
    <t xml:space="preserve">Bees (hives)</t>
  </si>
  <si>
    <t xml:space="preserve">Immuno-blotting (IB)</t>
  </si>
  <si>
    <t xml:space="preserve">Bolivia (Plurinational State of) @ Laboratorio de Investigación y Diagnóstico Veterinario (National laboratory)</t>
  </si>
  <si>
    <t xml:space="preserve">Precautions at the borders</t>
  </si>
  <si>
    <t xml:space="preserve">China, Taiwan Province of</t>
  </si>
  <si>
    <t xml:space="preserve">Import of semen infected with Porcine reproductive and respiratory syndrome virus</t>
  </si>
  <si>
    <t xml:space="preserve">Chronic respiratory disease</t>
  </si>
  <si>
    <t xml:space="preserve">H5N8 LPAI</t>
  </si>
  <si>
    <t xml:space="preserve">UEMOA</t>
  </si>
  <si>
    <t xml:space="preserve">Berniers teal (Anas bernieri)</t>
  </si>
  <si>
    <t xml:space="preserve">Immunocapture ELISA</t>
  </si>
  <si>
    <t xml:space="preserve">Bolivia (Plurinational State of) @ National Laboratory for Veterinary Research and Diagnosis (LIDIVET) @ Santa Cruz</t>
  </si>
  <si>
    <t xml:space="preserve">Preemptive Culling</t>
  </si>
  <si>
    <t xml:space="preserve">Christmas Island</t>
  </si>
  <si>
    <t xml:space="preserve">Informal movement of animals</t>
  </si>
  <si>
    <t xml:space="preserve">Chronic wasting disease</t>
  </si>
  <si>
    <t xml:space="preserve">H5N9 HPAI</t>
  </si>
  <si>
    <t xml:space="preserve">UN Field Officer</t>
  </si>
  <si>
    <t xml:space="preserve">Bharal</t>
  </si>
  <si>
    <t xml:space="preserve">Immunoelectrophoresis test (IEPT)</t>
  </si>
  <si>
    <t xml:space="preserve">Bolivia (Plurinational State of) @ Veterinary Diagnostic and Research Laboratory</t>
  </si>
  <si>
    <t xml:space="preserve">Press release</t>
  </si>
  <si>
    <t xml:space="preserve">Clipperton Island</t>
  </si>
  <si>
    <t xml:space="preserve">Introduction of new live animals</t>
  </si>
  <si>
    <t xml:space="preserve">Classical swine fever</t>
  </si>
  <si>
    <t xml:space="preserve">H5N9 LPAI</t>
  </si>
  <si>
    <t xml:space="preserve">U.S. Naval Medical Research Unit No. 3</t>
  </si>
  <si>
    <t xml:space="preserve">Bison</t>
  </si>
  <si>
    <t xml:space="preserve">Immunohistochemical test</t>
  </si>
  <si>
    <t xml:space="preserve">Bolivia (Plurinational State of) @ Veterinary Research and Diagnostic Laboratory</t>
  </si>
  <si>
    <t xml:space="preserve">Prevent sale infected</t>
  </si>
  <si>
    <t xml:space="preserve">Cocos (Keeling) Islands</t>
  </si>
  <si>
    <t xml:space="preserve">Involved in the slaughter and consumption of sick poultry.</t>
  </si>
  <si>
    <t xml:space="preserve">Coccidiosis</t>
  </si>
  <si>
    <t xml:space="preserve">H6N2 LPAI</t>
  </si>
  <si>
    <t xml:space="preserve">Veterinary Extension Worker (VEW)</t>
  </si>
  <si>
    <t xml:space="preserve">Bivalves</t>
  </si>
  <si>
    <t xml:space="preserve">Immunoperoxidase monolayer assay (IPMA)</t>
  </si>
  <si>
    <t xml:space="preserve">Bosnia and Herzegovina @ Veterinary Institute "Dr. Vaso Butozan", Banja Luka</t>
  </si>
  <si>
    <t xml:space="preserve">Prevent transport poultry product out of the region</t>
  </si>
  <si>
    <t xml:space="preserve">Colombia</t>
  </si>
  <si>
    <t xml:space="preserve">Involved with slaughtering and processing the meat</t>
  </si>
  <si>
    <t xml:space="preserve">Colibacillosis</t>
  </si>
  <si>
    <t xml:space="preserve">H7 HPAI</t>
  </si>
  <si>
    <t xml:space="preserve">WHO</t>
  </si>
  <si>
    <t xml:space="preserve">Black backed gull (Larus marinus)</t>
  </si>
  <si>
    <t xml:space="preserve">Indirect ELISA</t>
  </si>
  <si>
    <t xml:space="preserve">Botswana @ Botswana National Veterinary Laboratory @ Gaborone</t>
  </si>
  <si>
    <t xml:space="preserve">Process to inactivate the pathogenic agent in products or by products</t>
  </si>
  <si>
    <t xml:space="preserve">Comoros</t>
  </si>
  <si>
    <t xml:space="preserve">Laboratory escape</t>
  </si>
  <si>
    <t xml:space="preserve">Colony Collapse</t>
  </si>
  <si>
    <t xml:space="preserve">H7 LPAI</t>
  </si>
  <si>
    <t xml:space="preserve">ZTVLA (TVLA)</t>
  </si>
  <si>
    <t xml:space="preserve">Black-backed jackal (Canis mesomelas)</t>
  </si>
  <si>
    <t xml:space="preserve">Indirect fluorescent antibody (IFA) test</t>
  </si>
  <si>
    <t xml:space="preserve">Botswana @ Botswana Vaccine Institute @ Gaborone</t>
  </si>
  <si>
    <t xml:space="preserve">Prohibition of Processing, selling and consuming affected products in the province</t>
  </si>
  <si>
    <t xml:space="preserve">Congo</t>
  </si>
  <si>
    <t xml:space="preserve">Legal movement of animals</t>
  </si>
  <si>
    <t xml:space="preserve">Contagious agalactia</t>
  </si>
  <si>
    <t xml:space="preserve">H7N1 HPAI</t>
  </si>
  <si>
    <t xml:space="preserve">ZVC (DVS)</t>
  </si>
  <si>
    <t xml:space="preserve">Black-bellied Plover</t>
  </si>
  <si>
    <t xml:space="preserve">Indirect sandwich ELISA</t>
  </si>
  <si>
    <t xml:space="preserve">Brazil @ Laboratory of the State Secretariat of Agriculture @ Niterói</t>
  </si>
  <si>
    <t xml:space="preserve">Prohibit the movement of poultry and poultry products from areas</t>
  </si>
  <si>
    <t xml:space="preserve">Cook Islands</t>
  </si>
  <si>
    <t xml:space="preserve">Livestock  Market</t>
  </si>
  <si>
    <t xml:space="preserve">Contagious bovine pleuropneumonia</t>
  </si>
  <si>
    <t xml:space="preserve">H7N1 LPAI</t>
  </si>
  <si>
    <t xml:space="preserve">Black-billed Magpie (Pica hudsonia):</t>
  </si>
  <si>
    <t xml:space="preserve">Indole test</t>
  </si>
  <si>
    <t xml:space="preserve">Brazil @ Laboratório Nacional de Apoio Agropecuário (LANAGRO-PE) (National laboratory)</t>
  </si>
  <si>
    <t xml:space="preserve">Public awareness campaign,</t>
  </si>
  <si>
    <t xml:space="preserve">Costa Rica</t>
  </si>
  <si>
    <t xml:space="preserve">Management practices</t>
  </si>
  <si>
    <t xml:space="preserve">Contagious caprine pleuropneumonia</t>
  </si>
  <si>
    <t xml:space="preserve">H7N2 HPAI</t>
  </si>
  <si>
    <t xml:space="preserve">Black-browed Reed Warbler</t>
  </si>
  <si>
    <t xml:space="preserve">Inoculation test</t>
  </si>
  <si>
    <t xml:space="preserve">Brazil @ National Agricultural Laboratory (LANAGRO-SP), São Paulo (National Laboratory) @ São Paulo</t>
  </si>
  <si>
    <t xml:space="preserve">Quarantine</t>
  </si>
  <si>
    <t xml:space="preserve">Côte d'Ivoire</t>
  </si>
  <si>
    <t xml:space="preserve">May be due to migratory birds' droppings.</t>
  </si>
  <si>
    <t xml:space="preserve">Contagious Ecthyma</t>
  </si>
  <si>
    <t xml:space="preserve">H7N2 LPAI</t>
  </si>
  <si>
    <t xml:space="preserve">Black-cappedChickadee</t>
  </si>
  <si>
    <t xml:space="preserve">In situ hybridisation (ISH)</t>
  </si>
  <si>
    <t xml:space="preserve">Brazil @ Paddock Laboratorio de Análisis Clínicos @ Sao Paulo</t>
  </si>
  <si>
    <t xml:space="preserve">Remove all the birds to the Department's animal management centre</t>
  </si>
  <si>
    <t xml:space="preserve">Croatia</t>
  </si>
  <si>
    <t xml:space="preserve">Migration of wild birds</t>
  </si>
  <si>
    <t xml:space="preserve">Contagious equine metritis</t>
  </si>
  <si>
    <t xml:space="preserve">H7N3 HPAI</t>
  </si>
  <si>
    <t xml:space="preserve">Black collared starling</t>
  </si>
  <si>
    <t xml:space="preserve">Intracerebral pathogenicity index (ICPI) test</t>
  </si>
  <si>
    <t xml:space="preserve">Brazil @ Panamerican Foot-and-Mouth Disease Center, PANAFTOSA @ Rio de Janeiro</t>
  </si>
  <si>
    <t xml:space="preserve">Restrictions on meat imports</t>
  </si>
  <si>
    <t xml:space="preserve">Cuba</t>
  </si>
  <si>
    <t xml:space="preserve">Most likely, contact with people</t>
  </si>
  <si>
    <t xml:space="preserve">COVID-19 (SARS-COV-2)</t>
  </si>
  <si>
    <t xml:space="preserve">H7N3 LPAI</t>
  </si>
  <si>
    <t xml:space="preserve">Black coucal</t>
  </si>
  <si>
    <t xml:space="preserve">Intravenous pathogenicity index (IVPI) test</t>
  </si>
  <si>
    <t xml:space="preserve">Bulgaria @ FMD National Reference Laboratory</t>
  </si>
  <si>
    <t xml:space="preserve">Ring vaccination</t>
  </si>
  <si>
    <t xml:space="preserve">Cyprus</t>
  </si>
  <si>
    <t xml:space="preserve">Crayfish plague (Aphanomyces astaci)</t>
  </si>
  <si>
    <t xml:space="preserve">H7N4 LPAI</t>
  </si>
  <si>
    <t xml:space="preserve">Black Crake</t>
  </si>
  <si>
    <t xml:space="preserve">Isoenzyme studies</t>
  </si>
  <si>
    <t xml:space="preserve">Bulgaria @ Laboratoire national de référence pour les maladies des poissons et des mollusques bivalves</t>
  </si>
  <si>
    <t xml:space="preserve">Routine vaccination</t>
  </si>
  <si>
    <t xml:space="preserve">Czechia</t>
  </si>
  <si>
    <t xml:space="preserve">Possible contact with wild birds</t>
  </si>
  <si>
    <t xml:space="preserve">Crimean Congo haemorrhagic fever</t>
  </si>
  <si>
    <t xml:space="preserve">H7N6 LPAI</t>
  </si>
  <si>
    <t xml:space="preserve">Black-faced spoonbill (Platalea minor)</t>
  </si>
  <si>
    <t xml:space="preserve">Izsler Ag</t>
  </si>
  <si>
    <t xml:space="preserve">Bulgaria @ NRL for AI and ND</t>
  </si>
  <si>
    <t xml:space="preserve">Sanitary cordon</t>
  </si>
  <si>
    <t xml:space="preserve">Democratic People's Republic of Korea</t>
  </si>
  <si>
    <t xml:space="preserve">Cysticercosis</t>
  </si>
  <si>
    <t xml:space="preserve">H7N7</t>
  </si>
  <si>
    <t xml:space="preserve">Black-footed ferret</t>
  </si>
  <si>
    <t xml:space="preserve">Izsler Elisa</t>
  </si>
  <si>
    <t xml:space="preserve">Bulgaria @ National Diagnostic and Research Veterinary Institute, Sofia @ Sofia</t>
  </si>
  <si>
    <t xml:space="preserve">Screening</t>
  </si>
  <si>
    <t xml:space="preserve">Democratic Republic of the Congo</t>
  </si>
  <si>
    <t xml:space="preserve">Presumed to be the pasture</t>
  </si>
  <si>
    <t xml:space="preserve">H7N7 HPAI</t>
  </si>
  <si>
    <t xml:space="preserve">Black headed gull (Chroicocephalus ridibundus)</t>
  </si>
  <si>
    <t xml:space="preserve">Liquid-phase (LP) blocking ELISA</t>
  </si>
  <si>
    <t xml:space="preserve">Bulgaria @ National Reference Laboratory for Bluetongue</t>
  </si>
  <si>
    <t xml:space="preserve">Screening and zoning</t>
  </si>
  <si>
    <t xml:space="preserve">Denmark</t>
  </si>
  <si>
    <t xml:space="preserve">Probably former burial of animals</t>
  </si>
  <si>
    <t xml:space="preserve">Dermatophilosis</t>
  </si>
  <si>
    <t xml:space="preserve">H7N7 LPAI</t>
  </si>
  <si>
    <t xml:space="preserve">Black-headed Gull (Chroicocephalus ridibundus):Laridae-Charadriiformes</t>
  </si>
  <si>
    <t xml:space="preserve">Luminescence immunoassay</t>
  </si>
  <si>
    <t xml:space="preserve">Bulgaria @ National Reference Laboratory for Brucellosis</t>
  </si>
  <si>
    <t xml:space="preserve">Selective killing and disposal</t>
  </si>
  <si>
    <t xml:space="preserve">Djibouti</t>
  </si>
  <si>
    <t xml:space="preserve">Probably, hunted wild ducks and geese</t>
  </si>
  <si>
    <t xml:space="preserve">Distomatosis</t>
  </si>
  <si>
    <t xml:space="preserve">H7N8 LPAI</t>
  </si>
  <si>
    <t xml:space="preserve">Black-headed heron (Ardea melanocephala)</t>
  </si>
  <si>
    <t xml:space="preserve">Lysine decarboxylate test</t>
  </si>
  <si>
    <t xml:space="preserve">Bulgaria @ National Reference Laboratory for Classical Swine Fever (National laboratory)</t>
  </si>
  <si>
    <t xml:space="preserve">Set up quarantine five stations along main streets</t>
  </si>
  <si>
    <t xml:space="preserve">Dominica</t>
  </si>
  <si>
    <t xml:space="preserve">Processing slaughtering</t>
  </si>
  <si>
    <t xml:space="preserve">Dourine</t>
  </si>
  <si>
    <t xml:space="preserve">H7N9 HPAI</t>
  </si>
  <si>
    <t xml:space="preserve">Black-headed Munia</t>
  </si>
  <si>
    <t xml:space="preserve">Mallein test</t>
  </si>
  <si>
    <t xml:space="preserve">Bulgaria @ National Reference Laboratory for Classical Swine Fever and African Swine Fever</t>
  </si>
  <si>
    <t xml:space="preserve">Slaughter</t>
  </si>
  <si>
    <t xml:space="preserve">Dominican Republic</t>
  </si>
  <si>
    <t xml:space="preserve">Rabies related to hematophagous bats</t>
  </si>
  <si>
    <t xml:space="preserve">Dracunculiasis</t>
  </si>
  <si>
    <t xml:space="preserve">H7N9 LPAI</t>
  </si>
  <si>
    <t xml:space="preserve">Black-legged Kittiwake (Rissa tridactyla):Laridae-Charadriiformes</t>
  </si>
  <si>
    <t xml:space="preserve">Microscopic agglutination test (MAT)</t>
  </si>
  <si>
    <t xml:space="preserve">Bulgaria @ National Reference Laboratory for Fish Diseases and Bivalve Molluscs</t>
  </si>
  <si>
    <t xml:space="preserve">Stamping out</t>
  </si>
  <si>
    <t xml:space="preserve">Ecuador</t>
  </si>
  <si>
    <t xml:space="preserve">Random mutation</t>
  </si>
  <si>
    <t xml:space="preserve">Duck virus enteritis</t>
  </si>
  <si>
    <t xml:space="preserve">H9 LPAI</t>
  </si>
  <si>
    <t xml:space="preserve">Black-necked Grebe (Podiceps Nigricollis)</t>
  </si>
  <si>
    <t xml:space="preserve">Microscopic examination</t>
  </si>
  <si>
    <t xml:space="preserve">Bulgaria @ National Reference Laboratory for Newcastle Disease</t>
  </si>
  <si>
    <t xml:space="preserve">Surveillance outside containment and/or protection zone</t>
  </si>
  <si>
    <t xml:space="preserve">Egypt</t>
  </si>
  <si>
    <t xml:space="preserve">Refugees</t>
  </si>
  <si>
    <t xml:space="preserve">Duck virus hepatitis</t>
  </si>
  <si>
    <t xml:space="preserve">H9N1 LPAI</t>
  </si>
  <si>
    <t xml:space="preserve">Black rhinoceros</t>
  </si>
  <si>
    <t xml:space="preserve">Microscopic examination of larvae</t>
  </si>
  <si>
    <t xml:space="preserve">Bulgaria @ National Reference Laboratory for Newcastle Disease, Sofia @ Sofia</t>
  </si>
  <si>
    <t xml:space="preserve">Surveillance within containment and/or protection zone</t>
  </si>
  <si>
    <t xml:space="preserve">El Salvador</t>
  </si>
  <si>
    <t xml:space="preserve">Seasonal migration of wild birds - swans</t>
  </si>
  <si>
    <t xml:space="preserve">Dystocia</t>
  </si>
  <si>
    <t xml:space="preserve">H9N2 HPAI</t>
  </si>
  <si>
    <t xml:space="preserve">Black Skimmer</t>
  </si>
  <si>
    <t xml:space="preserve">Milk density/milk quality</t>
  </si>
  <si>
    <t xml:space="preserve">Bulgaria @ National Reference Laboratory for transmissible spongiform encephalopathies (TSEs)</t>
  </si>
  <si>
    <t xml:space="preserve">Targeted Surveillance</t>
  </si>
  <si>
    <t xml:space="preserve">Equatorial Guinea</t>
  </si>
  <si>
    <t xml:space="preserve">Selling infected beef in the largest market in the capital.</t>
  </si>
  <si>
    <t xml:space="preserve">East Coast fever</t>
  </si>
  <si>
    <t xml:space="preserve">H9N2 LPAI</t>
  </si>
  <si>
    <t xml:space="preserve">Blacksmith Lapwing</t>
  </si>
  <si>
    <t xml:space="preserve">Monoclonal antibodies (Mab) test</t>
  </si>
  <si>
    <t xml:space="preserve">Burkina Faso @ Centre International de Recherches Développement sur l’Elevage en zone Subhumide, CIRDES @ Bobo-Dioulasso</t>
  </si>
  <si>
    <t xml:space="preserve">Targeted vaccination</t>
  </si>
  <si>
    <t xml:space="preserve">Eritrea</t>
  </si>
  <si>
    <t xml:space="preserve">Semen</t>
  </si>
  <si>
    <t xml:space="preserve">Eastern equine encephalomyelitis</t>
  </si>
  <si>
    <t xml:space="preserve">HPAI</t>
  </si>
  <si>
    <t xml:space="preserve">Black Swan:Cygnus atratus(Anatidae)</t>
  </si>
  <si>
    <t xml:space="preserve">Motility test</t>
  </si>
  <si>
    <t xml:space="preserve">Burkina Faso @ Laboratoire National d’Elevage de Ouagadougou @ Ouagadougou 03</t>
  </si>
  <si>
    <t xml:space="preserve">To prevent transportation of pigs in and out of the affected areas</t>
  </si>
  <si>
    <t xml:space="preserve">Estonia</t>
  </si>
  <si>
    <t xml:space="preserve">Slaughter and eat chickens</t>
  </si>
  <si>
    <t xml:space="preserve">Ebola-Reston</t>
  </si>
  <si>
    <t xml:space="preserve">Indiana</t>
  </si>
  <si>
    <t xml:space="preserve">Black-tailed Jackrabbit (Lepus californicus)</t>
  </si>
  <si>
    <t xml:space="preserve">Multiplex PCR</t>
  </si>
  <si>
    <t xml:space="preserve">Cabo Verde @ Laboratorio Veterinario - DGASP @ Praia</t>
  </si>
  <si>
    <t xml:space="preserve">To seal off</t>
  </si>
  <si>
    <t xml:space="preserve">Eswatini</t>
  </si>
  <si>
    <t xml:space="preserve">Slaughtering</t>
  </si>
  <si>
    <t xml:space="preserve">Ebola Virus</t>
  </si>
  <si>
    <t xml:space="preserve">JaGAr-01</t>
  </si>
  <si>
    <t xml:space="preserve">Black-winged Stilt</t>
  </si>
  <si>
    <t xml:space="preserve">Nested RT-PCR</t>
  </si>
  <si>
    <t xml:space="preserve">Cambodia @ Institut Pasteur du Cambodge @ Phnom Penh</t>
  </si>
  <si>
    <t xml:space="preserve">Traceability</t>
  </si>
  <si>
    <t xml:space="preserve">Ethiopia</t>
  </si>
  <si>
    <t xml:space="preserve">Soil-borne infection</t>
  </si>
  <si>
    <t xml:space="preserve">Echinococcosis/hydatidosis</t>
  </si>
  <si>
    <t xml:space="preserve">LPAI</t>
  </si>
  <si>
    <t xml:space="preserve">Blue crane (Grus paradisea)</t>
  </si>
  <si>
    <t xml:space="preserve">Neuraminidase inhibition assay</t>
  </si>
  <si>
    <t xml:space="preserve">Cambodia @ National Animal Health and Production Investigation Center (NAHPIC)</t>
  </si>
  <si>
    <t xml:space="preserve">Tracing back</t>
  </si>
  <si>
    <t xml:space="preserve">Europa Island</t>
  </si>
  <si>
    <t xml:space="preserve">Spontaneous mutation</t>
  </si>
  <si>
    <t xml:space="preserve">Ectoparasitism</t>
  </si>
  <si>
    <t xml:space="preserve">Nakayama</t>
  </si>
  <si>
    <t xml:space="preserve">Blue monkey</t>
  </si>
  <si>
    <t xml:space="preserve">Neutralisation (FAVN)</t>
  </si>
  <si>
    <t xml:space="preserve">Cambodia @ National Institute for Public Health (NIPH) @ Phnom Penh</t>
  </si>
  <si>
    <t xml:space="preserve">Tracing forward</t>
  </si>
  <si>
    <t xml:space="preserve">Falkland Islands (Malvinas)</t>
  </si>
  <si>
    <t xml:space="preserve">Spread by infected animals through aerosols, contact with contaminated farming equipment</t>
  </si>
  <si>
    <t xml:space="preserve">Egg Drop Syndrome</t>
  </si>
  <si>
    <t xml:space="preserve">New Jersey</t>
  </si>
  <si>
    <t xml:space="preserve">Blue quail</t>
  </si>
  <si>
    <t xml:space="preserve">Nitrate reduction test</t>
  </si>
  <si>
    <t xml:space="preserve">Cambodia @ National Veterinary Research Institute (NaVRI)</t>
  </si>
  <si>
    <t xml:space="preserve">Treatment</t>
  </si>
  <si>
    <t xml:space="preserve">Faroe Islands</t>
  </si>
  <si>
    <t xml:space="preserve">Swill feeding</t>
  </si>
  <si>
    <t xml:space="preserve">Enteric septicaemia of catfish (Edwardsiella ictaluri)</t>
  </si>
  <si>
    <t xml:space="preserve">Not specified</t>
  </si>
  <si>
    <t xml:space="preserve">Blue -spotted wood dove</t>
  </si>
  <si>
    <t xml:space="preserve">Non-structural protein ELISA</t>
  </si>
  <si>
    <t xml:space="preserve">Cambodia @ National Veterinary Research Institute @ Phnom penh</t>
  </si>
  <si>
    <t xml:space="preserve">Treatment of affected animals (Antiparasitic )</t>
  </si>
  <si>
    <t xml:space="preserve">Fiji</t>
  </si>
  <si>
    <t xml:space="preserve">Test infection source</t>
  </si>
  <si>
    <t xml:space="preserve">Enterotoxaemia</t>
  </si>
  <si>
    <t xml:space="preserve">Bontebok</t>
  </si>
  <si>
    <t xml:space="preserve">No test done</t>
  </si>
  <si>
    <t xml:space="preserve">Cameroon @ Laboratoire National Vétérinaire @ Garoua</t>
  </si>
  <si>
    <t xml:space="preserve">Treatment of animals affected with antibiotics</t>
  </si>
  <si>
    <t xml:space="preserve">Finland</t>
  </si>
  <si>
    <t xml:space="preserve">The bites of the culex female mosquitoes</t>
  </si>
  <si>
    <t xml:space="preserve">Enzootic abortion (chlamydiosis)</t>
  </si>
  <si>
    <t xml:space="preserve">RABV</t>
  </si>
  <si>
    <t xml:space="preserve">Bornean binturong</t>
  </si>
  <si>
    <t xml:space="preserve">Not Specified Test</t>
  </si>
  <si>
    <t xml:space="preserve">Cameroon @ Pasteur Centre, Yaounde @ Yaounde</t>
  </si>
  <si>
    <t xml:space="preserve">Vaccination</t>
  </si>
  <si>
    <t xml:space="preserve">France</t>
  </si>
  <si>
    <t xml:space="preserve">There were sudden poultry die-offs in his neighbourhood</t>
  </si>
  <si>
    <t xml:space="preserve">Enzootic abortion of ewes (ovine chlamydiosis)</t>
  </si>
  <si>
    <t xml:space="preserve">RHDV1</t>
  </si>
  <si>
    <t xml:space="preserve">Branta ruficollis</t>
  </si>
  <si>
    <t xml:space="preserve">NPLA (Neutralising peroxidase-linked assay)</t>
  </si>
  <si>
    <t xml:space="preserve">Cameroon @ State Veterinary Laboratory (LANAVET), Garoua (National Laboratory) @ Garoua</t>
  </si>
  <si>
    <t xml:space="preserve">Vaccination campaign in the area affected</t>
  </si>
  <si>
    <t xml:space="preserve">French Guiana</t>
  </si>
  <si>
    <t xml:space="preserve">The straw collected on a field were a dead wild boar has been previously found".</t>
  </si>
  <si>
    <t xml:space="preserve">Enzootic bovine leukosis</t>
  </si>
  <si>
    <t xml:space="preserve">RHDV2</t>
  </si>
  <si>
    <t xml:space="preserve">Brazilian Teal</t>
  </si>
  <si>
    <t xml:space="preserve">Nucleotide sequencing</t>
  </si>
  <si>
    <t xml:space="preserve">Canada @ Animal Health Laboratory, University of Guelph (Local laboratory)</t>
  </si>
  <si>
    <t xml:space="preserve">Vaccination in reponse to outbreak</t>
  </si>
  <si>
    <t xml:space="preserve">French Polynesia</t>
  </si>
  <si>
    <t xml:space="preserve">The virus circulation into the wild birds population is suspected.</t>
  </si>
  <si>
    <t xml:space="preserve">Ephemeral fever (3 day stiffness)</t>
  </si>
  <si>
    <t xml:space="preserve">SAT1</t>
  </si>
  <si>
    <t xml:space="preserve">Brent Goose:Branta bernicla(Anatidae)</t>
  </si>
  <si>
    <t xml:space="preserve">Optical microscopy</t>
  </si>
  <si>
    <t xml:space="preserve">Canada @ Bureau de l’apiculteur provincial de l'Ontario @ Ontario</t>
  </si>
  <si>
    <t xml:space="preserve">Vaccination permitted (if a vaccine exists)</t>
  </si>
  <si>
    <t xml:space="preserve">French Southern and Antarctic Territories</t>
  </si>
  <si>
    <t xml:space="preserve">To have taken part in killing a sick cow.</t>
  </si>
  <si>
    <t xml:space="preserve">Epizootic haematopoietic necrosis</t>
  </si>
  <si>
    <t xml:space="preserve">SAT2</t>
  </si>
  <si>
    <t xml:space="preserve">Brown Babbler</t>
  </si>
  <si>
    <t xml:space="preserve">Ormithiamine decarboxylase test</t>
  </si>
  <si>
    <t xml:space="preserve">Canada @ CFIA (Canadian Food Inspection Agency), Lethbridge @ Lethbridge</t>
  </si>
  <si>
    <t xml:space="preserve">Vaccination prohibited</t>
  </si>
  <si>
    <t xml:space="preserve">Gabon</t>
  </si>
  <si>
    <t xml:space="preserve">Transboundary migration of wild boars</t>
  </si>
  <si>
    <t xml:space="preserve">Epizootic haemorrhagic disease</t>
  </si>
  <si>
    <t xml:space="preserve">SAT3</t>
  </si>
  <si>
    <t xml:space="preserve">Brown Hare</t>
  </si>
  <si>
    <t xml:space="preserve">Oxidase test</t>
  </si>
  <si>
    <t xml:space="preserve">Canada @ CFIA - Animal Diseases Research Institute @ Ottawa</t>
  </si>
  <si>
    <t xml:space="preserve">Gambia</t>
  </si>
  <si>
    <t xml:space="preserve">Transboundary spread</t>
  </si>
  <si>
    <t xml:space="preserve">Epizootic lymphangitis</t>
  </si>
  <si>
    <t xml:space="preserve">Brown-headed gull (Chroicocephalus brunnicephalus)</t>
  </si>
  <si>
    <t xml:space="preserve">Parasitological examination</t>
  </si>
  <si>
    <t xml:space="preserve">Canada @ CFIA - National Centre for Animal Disease @ Lethbridge</t>
  </si>
  <si>
    <t xml:space="preserve">Gaza Strip</t>
  </si>
  <si>
    <t xml:space="preserve">Transhumant animal</t>
  </si>
  <si>
    <t xml:space="preserve">Epizootic ulcerative syndrome</t>
  </si>
  <si>
    <t xml:space="preserve">Brown-throated Martin</t>
  </si>
  <si>
    <t xml:space="preserve">Pathogen isolation by egg inoculation</t>
  </si>
  <si>
    <t xml:space="preserve">Canada @ CFIA - Saskatchewan @ Sasktoon</t>
  </si>
  <si>
    <t xml:space="preserve">Georgia</t>
  </si>
  <si>
    <t xml:space="preserve">Transmission from humans</t>
  </si>
  <si>
    <t xml:space="preserve">Equine Encephalomyelitis (East and West)</t>
  </si>
  <si>
    <t xml:space="preserve">Buffaloe</t>
  </si>
  <si>
    <t xml:space="preserve">Pathogen isolation on cell culture</t>
  </si>
  <si>
    <t xml:space="preserve">Canada @ CFIA National Center for Foreign Animal Diseases @ Winnipeg</t>
  </si>
  <si>
    <t xml:space="preserve">Germany</t>
  </si>
  <si>
    <t xml:space="preserve">Under investigation</t>
  </si>
  <si>
    <t xml:space="preserve">Equine encephalomyelitis (Eastern)</t>
  </si>
  <si>
    <t xml:space="preserve">Buff spotted crake</t>
  </si>
  <si>
    <t xml:space="preserve">PH test ( feeds,semen)</t>
  </si>
  <si>
    <t xml:space="preserve">Canada @ CFIA-NCAD-National Centre for Foreign Animal Diseases @ Winnipeg</t>
  </si>
  <si>
    <t xml:space="preserve">Ghana</t>
  </si>
  <si>
    <t xml:space="preserve">Unknown or inconclusive</t>
  </si>
  <si>
    <t xml:space="preserve">Equine encephalomyelitis (Western)</t>
  </si>
  <si>
    <t xml:space="preserve">Busard pâle</t>
  </si>
  <si>
    <t xml:space="preserve">Phylogenetic analysis</t>
  </si>
  <si>
    <t xml:space="preserve">Canada @ Canadian National Collection of Insects, Agriculture and Agri-Food Canada @ Alberta</t>
  </si>
  <si>
    <t xml:space="preserve">Gibraltar</t>
  </si>
  <si>
    <t xml:space="preserve">Vampire bats</t>
  </si>
  <si>
    <t xml:space="preserve">Equine encephalosis</t>
  </si>
  <si>
    <t xml:space="preserve">Bush Fowl</t>
  </si>
  <si>
    <t xml:space="preserve">Plaque reduction neutralisation test (PRN)</t>
  </si>
  <si>
    <t xml:space="preserve">Canada @ Centre for Aquatic Health Science @ Charlottetown</t>
  </si>
  <si>
    <t xml:space="preserve">Glorioso Islands</t>
  </si>
  <si>
    <t xml:space="preserve">Vectors</t>
  </si>
  <si>
    <t xml:space="preserve">Equine infectious anaemia</t>
  </si>
  <si>
    <t xml:space="preserve">Buzzard</t>
  </si>
  <si>
    <t xml:space="preserve">Polymerase chain reaction (PCR)</t>
  </si>
  <si>
    <t xml:space="preserve">Canada @ Collection Nationale Canadienne des Insectes - Agriculture et Agro-alimentaire Canada @ Quebec</t>
  </si>
  <si>
    <t xml:space="preserve">Greece</t>
  </si>
  <si>
    <t xml:space="preserve">Wild strains of Brucella Melitensis</t>
  </si>
  <si>
    <t xml:space="preserve">Equine lymphangitis</t>
  </si>
  <si>
    <t xml:space="preserve">Cackling Goose</t>
  </si>
  <si>
    <t xml:space="preserve">Proximate analysis (protein,fat,NFE,fiber and moisture)</t>
  </si>
  <si>
    <t xml:space="preserve">Canada @ Department of Fisheries and Oceans, Pacific Biological Station @ Nanaimo</t>
  </si>
  <si>
    <t xml:space="preserve">Greenland</t>
  </si>
  <si>
    <t xml:space="preserve">Equine piroplasmosis</t>
  </si>
  <si>
    <t xml:space="preserve">Camelidae (unidentified)</t>
  </si>
  <si>
    <t xml:space="preserve">Rapid aggulutination test</t>
  </si>
  <si>
    <t xml:space="preserve">Canada @ Laboratoire de recherche apicole de l'USDA-ARS (Département fédéral de l'agriculture-Service de recherche agricole) @ Quebec</t>
  </si>
  <si>
    <t xml:space="preserve">Grenada</t>
  </si>
  <si>
    <t xml:space="preserve">Equine rhinopneumonitis</t>
  </si>
  <si>
    <t xml:space="preserve">Canada Goose:Branta canadensis(Anatidae)</t>
  </si>
  <si>
    <t xml:space="preserve">Rapid serum agglutination (RSA)</t>
  </si>
  <si>
    <t xml:space="preserve">Canada @ Laboratory for Foodborne Zoonoses; Guelph Laboratory, Health Canada @ Guelph</t>
  </si>
  <si>
    <t xml:space="preserve">Guadeloupe</t>
  </si>
  <si>
    <t xml:space="preserve">Equine viral arteritis</t>
  </si>
  <si>
    <t xml:space="preserve">Canada lynx (Lynx canadensis)</t>
  </si>
  <si>
    <t xml:space="preserve">Rapid tests</t>
  </si>
  <si>
    <t xml:space="preserve">Canada @ Manitoba Agriculture, Food and Rural Initiatives Veterinary Diagnostic Services @ Manitoba</t>
  </si>
  <si>
    <t xml:space="preserve">Guam</t>
  </si>
  <si>
    <t xml:space="preserve">Erhlichiosis</t>
  </si>
  <si>
    <t xml:space="preserve">Canine</t>
  </si>
  <si>
    <t xml:space="preserve">Real-time PCR</t>
  </si>
  <si>
    <t xml:space="preserve">Canada @ Ministère de l'Agriculture, des Pêcheries et de l'Alimentation du Québec, Sainte-Foy @ Québec</t>
  </si>
  <si>
    <t xml:space="preserve">Guatemala</t>
  </si>
  <si>
    <t xml:space="preserve">Erysipelas</t>
  </si>
  <si>
    <t xml:space="preserve">Cape cormorant (Phalacrocorax capensis)</t>
  </si>
  <si>
    <t xml:space="preserve">Real-time reverse transcriptase/polymerase chain reaction (RRT-PCR)</t>
  </si>
  <si>
    <t xml:space="preserve">Canada @ National Centre for Foreign Animal Disease (NCFAD), Winnipeg, Manitoba @ Winnipeg</t>
  </si>
  <si>
    <t xml:space="preserve">Guernsey</t>
  </si>
  <si>
    <t xml:space="preserve">Escherichia coli</t>
  </si>
  <si>
    <t xml:space="preserve">Cape gannet (Morus capensis)</t>
  </si>
  <si>
    <t xml:space="preserve">Reverse transcription - polymerase chain reaction</t>
  </si>
  <si>
    <t xml:space="preserve">Canada @ Pacific Biological Station, Fisheries and Oceans Canada reference laboratory for VHSv @ Ontario</t>
  </si>
  <si>
    <t xml:space="preserve">Guinea</t>
  </si>
  <si>
    <t xml:space="preserve">European foulbrood of honey bees</t>
  </si>
  <si>
    <t xml:space="preserve">Cape gannet Shy albatross</t>
  </si>
  <si>
    <t xml:space="preserve">Reverse transcription - polymerase chain reaction (RT-PCR)</t>
  </si>
  <si>
    <t xml:space="preserve">Canada @ Provincial TSE Laboratory, Edmonton @ Alberta</t>
  </si>
  <si>
    <t xml:space="preserve">Guinea-Bissau</t>
  </si>
  <si>
    <t xml:space="preserve">Food borne disease</t>
  </si>
  <si>
    <t xml:space="preserve">Cape teal</t>
  </si>
  <si>
    <t xml:space="preserve">Rose bengal test (RBT)</t>
  </si>
  <si>
    <t xml:space="preserve">Canada @ The Escherichia coli Laboratory (EcL) @ Montreal</t>
  </si>
  <si>
    <t xml:space="preserve">Guyana</t>
  </si>
  <si>
    <t xml:space="preserve">Foot and mouth disease</t>
  </si>
  <si>
    <t xml:space="preserve">Captive cattle egrets</t>
  </si>
  <si>
    <t xml:space="preserve">Seller's test</t>
  </si>
  <si>
    <t xml:space="preserve">Canada @ University of Guelph, College of Veterinary Medicine and the Fish Health Laboratory @ Ontario</t>
  </si>
  <si>
    <t xml:space="preserve">Haiti</t>
  </si>
  <si>
    <t xml:space="preserve">Foot rot</t>
  </si>
  <si>
    <t xml:space="preserve">Casmerodiu</t>
  </si>
  <si>
    <t xml:space="preserve">Semen examination</t>
  </si>
  <si>
    <t xml:space="preserve">Central African Republic @ Laboratoire Central Vétérinaire de Bangui @ Bangui</t>
  </si>
  <si>
    <t xml:space="preserve">Hala'ib triangle</t>
  </si>
  <si>
    <t xml:space="preserve">Foulbrood of honey</t>
  </si>
  <si>
    <t xml:space="preserve">Cats</t>
  </si>
  <si>
    <t xml:space="preserve">Seroneutralisation test (SNT)</t>
  </si>
  <si>
    <t xml:space="preserve">Central African Republic @ Pasteur Institute of Bangui @ Bangui</t>
  </si>
  <si>
    <t xml:space="preserve">Heard and McDonald Islands</t>
  </si>
  <si>
    <t xml:space="preserve">Fowl cholera</t>
  </si>
  <si>
    <t xml:space="preserve">Cattle</t>
  </si>
  <si>
    <t xml:space="preserve">Serotyping</t>
  </si>
  <si>
    <t xml:space="preserve">Chad @ Laboratoire de Recherches Vétérinaires et Zootechniques de Farcha (LRVZ/F) @ N’Djaména</t>
  </si>
  <si>
    <t xml:space="preserve">Holy See</t>
  </si>
  <si>
    <t xml:space="preserve">Fowl pox</t>
  </si>
  <si>
    <t xml:space="preserve">Cattle egret</t>
  </si>
  <si>
    <t xml:space="preserve">Serum agglutination test</t>
  </si>
  <si>
    <t xml:space="preserve">Chile @ ADL @ Puerto Montt</t>
  </si>
  <si>
    <t xml:space="preserve">Honduras</t>
  </si>
  <si>
    <t xml:space="preserve">Fowl typhoid</t>
  </si>
  <si>
    <t xml:space="preserve">Cervidae</t>
  </si>
  <si>
    <t xml:space="preserve">Tissue imprints</t>
  </si>
  <si>
    <t xml:space="preserve">Chile @ Biovac</t>
  </si>
  <si>
    <t xml:space="preserve">Howland Island</t>
  </si>
  <si>
    <t xml:space="preserve">Fusarium spp</t>
  </si>
  <si>
    <t xml:space="preserve">Charadriidae (unidentified):Charadriidae (incognita)(Charadriidae)</t>
  </si>
  <si>
    <t xml:space="preserve">Triple sugar iron agar test</t>
  </si>
  <si>
    <t xml:space="preserve">Chile @ Department of Laboratories and Plant and Animal Quarantine Stations, Lo Aguirre @ Santiago</t>
  </si>
  <si>
    <t xml:space="preserve">Hungary</t>
  </si>
  <si>
    <t xml:space="preserve">Glanders</t>
  </si>
  <si>
    <t xml:space="preserve">Charadrius pallidus</t>
  </si>
  <si>
    <t xml:space="preserve">Tube agglutination test (TAT)</t>
  </si>
  <si>
    <t xml:space="preserve">Chile @ Etecma, Castro</t>
  </si>
  <si>
    <t xml:space="preserve">Iceland</t>
  </si>
  <si>
    <t xml:space="preserve">Gregarine infection</t>
  </si>
  <si>
    <t xml:space="preserve">Cheetah</t>
  </si>
  <si>
    <t xml:space="preserve">Typing ELISA</t>
  </si>
  <si>
    <t xml:space="preserve">Chile @ Institute of Public Health (ISP) and "Lo Aguirre" (Agriculture and Livestock Service, SAG)</t>
  </si>
  <si>
    <t xml:space="preserve">Ilemi triangle</t>
  </si>
  <si>
    <t xml:space="preserve">Gyrodactylosis (Gyrodactylus salaris)</t>
  </si>
  <si>
    <t xml:space="preserve">Chicken</t>
  </si>
  <si>
    <t xml:space="preserve">Urease test</t>
  </si>
  <si>
    <t xml:space="preserve">Chile @ Lo Aguirre (National laboratory)</t>
  </si>
  <si>
    <t xml:space="preserve">India</t>
  </si>
  <si>
    <t xml:space="preserve">Haemorrhagic Septicaemia</t>
  </si>
  <si>
    <t xml:space="preserve">Chimpanzee (Pan troglodytes)</t>
  </si>
  <si>
    <t xml:space="preserve">Virus-infection-associated antigen (VIAA)</t>
  </si>
  <si>
    <t xml:space="preserve">Chile @ Public Health Institute (National Laboratory)</t>
  </si>
  <si>
    <t xml:space="preserve">Indonesia</t>
  </si>
  <si>
    <t xml:space="preserve">Haliphthoros spps</t>
  </si>
  <si>
    <t xml:space="preserve">Chough</t>
  </si>
  <si>
    <t xml:space="preserve">Virus isolation</t>
  </si>
  <si>
    <t xml:space="preserve">Chile @ Rabies diagnostic laboratory of the Public Health Institute of Chile</t>
  </si>
  <si>
    <t xml:space="preserve">Iran (Islamic Republic of)</t>
  </si>
  <si>
    <t xml:space="preserve">Halocrstcida spp</t>
  </si>
  <si>
    <t xml:space="preserve">Ciconiidae (unidentified):Ciconiidae(incognita)(Ciconiidae)</t>
  </si>
  <si>
    <t xml:space="preserve">Virus neutralisation test (VNT)</t>
  </si>
  <si>
    <t xml:space="preserve">China @ Agriculture, Fisheries and Conservation Department, Hong Kong @ Hong Kong</t>
  </si>
  <si>
    <t xml:space="preserve">Iraq</t>
  </si>
  <si>
    <t xml:space="preserve">Heartwater</t>
  </si>
  <si>
    <t xml:space="preserve">Cinnamon Bittern</t>
  </si>
  <si>
    <t xml:space="preserve">Virus sequencing</t>
  </si>
  <si>
    <t xml:space="preserve">China @ Animal Health Research Institute (National laboratory) @ Taiwan</t>
  </si>
  <si>
    <t xml:space="preserve">Ireland</t>
  </si>
  <si>
    <t xml:space="preserve">Helminthiasis</t>
  </si>
  <si>
    <t xml:space="preserve">Cinnamon Teal</t>
  </si>
  <si>
    <t xml:space="preserve">Western blot analysis</t>
  </si>
  <si>
    <t xml:space="preserve">China @ Animal Influenza Laboratory (AIL), Harbin Veterinary Research Institute @ Harbin</t>
  </si>
  <si>
    <t xml:space="preserve">Isle of Man</t>
  </si>
  <si>
    <t xml:space="preserve">Hendra Virus Disease</t>
  </si>
  <si>
    <t xml:space="preserve">Civet</t>
  </si>
  <si>
    <t xml:space="preserve">Western blotting (WB)</t>
  </si>
  <si>
    <t xml:space="preserve">China @ Animal Technology Institute (Private Laboratory) @ Taiwan</t>
  </si>
  <si>
    <t xml:space="preserve">Israel</t>
  </si>
  <si>
    <t xml:space="preserve">Hepatitis</t>
  </si>
  <si>
    <t xml:space="preserve">Clamorous Reed Warbler</t>
  </si>
  <si>
    <t xml:space="preserve">Ziehl Neelsen test</t>
  </si>
  <si>
    <t xml:space="preserve">China @ China Agricultural University (CAU) Animal Hospital</t>
  </si>
  <si>
    <t xml:space="preserve">Italy</t>
  </si>
  <si>
    <t xml:space="preserve">Hernie Embilical</t>
  </si>
  <si>
    <t xml:space="preserve">Coati (Gen. Nasua)</t>
  </si>
  <si>
    <t xml:space="preserve">China @ China Animal Disease Control Centre, Beijing @ Beijing</t>
  </si>
  <si>
    <t xml:space="preserve">Jamaica</t>
  </si>
  <si>
    <t xml:space="preserve">Horse pox</t>
  </si>
  <si>
    <t xml:space="preserve">Cockatiel</t>
  </si>
  <si>
    <t xml:space="preserve">China @ China Animal Health and Epidemiology Center - Qingdao @ Quingdao</t>
  </si>
  <si>
    <t xml:space="preserve">Jammu and Kashmir</t>
  </si>
  <si>
    <t xml:space="preserve">Infection with Haplosporidium nelsoni</t>
  </si>
  <si>
    <t xml:space="preserve">Collared Pratincole</t>
  </si>
  <si>
    <t xml:space="preserve">China @ China Animal Health and Epidemiology Centre - Bejing @ Beijing</t>
  </si>
  <si>
    <t xml:space="preserve">Japan</t>
  </si>
  <si>
    <t xml:space="preserve">Infection with Marteilia refringens</t>
  </si>
  <si>
    <t xml:space="preserve">Columbidae (unidentified):Columbidae (incognita)(Columbidae)</t>
  </si>
  <si>
    <t xml:space="preserve">China @ College of Life Science, Institute of Zoology @ Taipei</t>
  </si>
  <si>
    <t xml:space="preserve">Jarvis Island</t>
  </si>
  <si>
    <t xml:space="preserve">Infection with Marteilia sydneyi</t>
  </si>
  <si>
    <t xml:space="preserve">Common Bulbul</t>
  </si>
  <si>
    <t xml:space="preserve">China @ Department of Microbiology, University of Hong Kong (Regional Reference Laboratory) @ Hong Kong</t>
  </si>
  <si>
    <t xml:space="preserve">Jersey</t>
  </si>
  <si>
    <t xml:space="preserve">Infection with Perkinsus marinus</t>
  </si>
  <si>
    <t xml:space="preserve">Common Buttonquail</t>
  </si>
  <si>
    <t xml:space="preserve">China @ Foreign Animal Disease Diagnosis Centre, National Animal Quarantine Institute, Qingdao @ Qingdao</t>
  </si>
  <si>
    <t xml:space="preserve">Johnston Atoll</t>
  </si>
  <si>
    <t xml:space="preserve">Infection with Xenohaliotis californiensis</t>
  </si>
  <si>
    <t xml:space="preserve">Common Carp</t>
  </si>
  <si>
    <t xml:space="preserve">China @ Hong Kong National Influenza Centre, Hong kong</t>
  </si>
  <si>
    <t xml:space="preserve">Jordan</t>
  </si>
  <si>
    <t xml:space="preserve">Infectious Bovine Keratoconjunctivitis (Pinkeye)</t>
  </si>
  <si>
    <t xml:space="preserve">Common carp (Cyprinus carpio)</t>
  </si>
  <si>
    <t xml:space="preserve">China @ Laboratory for Animal Disease Prevention and Control @ Guangdong</t>
  </si>
  <si>
    <t xml:space="preserve">Juan de Nova Island</t>
  </si>
  <si>
    <t xml:space="preserve">Infectious bovine rhinotracheitis</t>
  </si>
  <si>
    <t xml:space="preserve">Common coot</t>
  </si>
  <si>
    <t xml:space="preserve">China @ Langzhou Veterinary Research Institute (National Reference Laboratory for FMD) @ Lanzhou</t>
  </si>
  <si>
    <t xml:space="preserve">Kazakhstan</t>
  </si>
  <si>
    <t xml:space="preserve">Infectious Bronchitis</t>
  </si>
  <si>
    <t xml:space="preserve">Common duiker (Sylvicapra grimmia)</t>
  </si>
  <si>
    <t xml:space="preserve">China @ Lanzhou Laboratory, Lanzhou Veterinary Research Institute</t>
  </si>
  <si>
    <t xml:space="preserve">Kenya</t>
  </si>
  <si>
    <t xml:space="preserve">Infectious bursal disease (Gumboro disease)</t>
  </si>
  <si>
    <t xml:space="preserve">Common Eider (Somateria mollissima)</t>
  </si>
  <si>
    <t xml:space="preserve">China @ Lanzhou Veterinary Research Institute, National Reference Laboratory for Foot and Mouth Disease</t>
  </si>
  <si>
    <t xml:space="preserve">Kingman Reef</t>
  </si>
  <si>
    <t xml:space="preserve">Infectious Coryza</t>
  </si>
  <si>
    <t xml:space="preserve">Common Goldeneye:Bucephala clangula(Anatidae)</t>
  </si>
  <si>
    <t xml:space="preserve">China @ Molecular Pathology Laboratory @ Qingdao</t>
  </si>
  <si>
    <t xml:space="preserve">Kiribati</t>
  </si>
  <si>
    <t xml:space="preserve">Infectious haematopoietic necrosis</t>
  </si>
  <si>
    <t xml:space="preserve">Common Grackle</t>
  </si>
  <si>
    <t xml:space="preserve">China @ National Avian Influenza Laboratory</t>
  </si>
  <si>
    <t xml:space="preserve">Kuril islands</t>
  </si>
  <si>
    <t xml:space="preserve">Infectious hypodermal and haematopoietic necrosis (IHHN)</t>
  </si>
  <si>
    <t xml:space="preserve">Common Greenshank</t>
  </si>
  <si>
    <t xml:space="preserve">China @ National Avian Influenza Reference Laboratory @ Lhasa</t>
  </si>
  <si>
    <t xml:space="preserve">Kuwait</t>
  </si>
  <si>
    <t xml:space="preserve">Infectious myonecrosis</t>
  </si>
  <si>
    <t xml:space="preserve">Common Iora</t>
  </si>
  <si>
    <t xml:space="preserve">China @ National Exotic Animal Disease Diagnostic laboratory @ Kunming, Yunnan Province</t>
  </si>
  <si>
    <t xml:space="preserve">Kyrgyzstan</t>
  </si>
  <si>
    <t xml:space="preserve">Infectious pustular vulvovaginitis</t>
  </si>
  <si>
    <t xml:space="preserve">Common Kestrel:Falco tinnunculus(Falconidae)</t>
  </si>
  <si>
    <t xml:space="preserve">China @ National FMD reference laboratory (National laboratory)</t>
  </si>
  <si>
    <t xml:space="preserve">Lao People's Democratic Republic</t>
  </si>
  <si>
    <t xml:space="preserve">Infectious salmon anaemia</t>
  </si>
  <si>
    <t xml:space="preserve">Common Kingfisher</t>
  </si>
  <si>
    <t xml:space="preserve">China @ National Food and Mouth Disease Reference Laboratory</t>
  </si>
  <si>
    <t xml:space="preserve">Latvia</t>
  </si>
  <si>
    <t xml:space="preserve">Influenza - Avian</t>
  </si>
  <si>
    <t xml:space="preserve">Common loon (Gavia immer)</t>
  </si>
  <si>
    <t xml:space="preserve">China @ National Foot and Mouth Disease Reference Laboratory</t>
  </si>
  <si>
    <t xml:space="preserve">Lebanon</t>
  </si>
  <si>
    <t xml:space="preserve">Influenza - Equine</t>
  </si>
  <si>
    <t xml:space="preserve">Common moorhen (Gallinula chloropus)</t>
  </si>
  <si>
    <t xml:space="preserve">China @ National Laboratory (China)</t>
  </si>
  <si>
    <t xml:space="preserve">Lesotho</t>
  </si>
  <si>
    <t xml:space="preserve">Influenza - Swine</t>
  </si>
  <si>
    <t xml:space="preserve">Common murre (Uria aalge)</t>
  </si>
  <si>
    <t xml:space="preserve">China @ School of Veterinary Medecine @ Taipei</t>
  </si>
  <si>
    <t xml:space="preserve">Liberia</t>
  </si>
  <si>
    <t xml:space="preserve">Intoxication</t>
  </si>
  <si>
    <t xml:space="preserve">Common Myna</t>
  </si>
  <si>
    <t xml:space="preserve">China @ Shanxi Provincial Center for Animal Disease Control and Prevention</t>
  </si>
  <si>
    <t xml:space="preserve">Libya</t>
  </si>
  <si>
    <t xml:space="preserve">Japanese Encephalitis</t>
  </si>
  <si>
    <t xml:space="preserve">Common pheasant (Phasianus colchicus)</t>
  </si>
  <si>
    <t xml:space="preserve">China @ Shenzhen Exit &amp; Entry Inspection and Quarantine Bureau, AQSIQ @ Shenzhen</t>
  </si>
  <si>
    <t xml:space="preserve">Liechtenstein</t>
  </si>
  <si>
    <t xml:space="preserve">Koi herpes virus (KHV) disease</t>
  </si>
  <si>
    <t xml:space="preserve">Common pochard (Aythya ferina)</t>
  </si>
  <si>
    <t xml:space="preserve">China @ Sichuan Province General Station of Animal Epidemics Prevention and Surveillance, Sichuan @ Sichuan</t>
  </si>
  <si>
    <t xml:space="preserve">Lithuania</t>
  </si>
  <si>
    <t xml:space="preserve">Kunjin virus</t>
  </si>
  <si>
    <t xml:space="preserve">Common Quail:Coturnix coturnix(Phasianidae)</t>
  </si>
  <si>
    <t xml:space="preserve">China @ Tai Lung Veterinary Laboratory, Agriculture, Fisheries and Conservation Department (National laboratory) @ Hong Kong</t>
  </si>
  <si>
    <t xml:space="preserve">Luxembourg</t>
  </si>
  <si>
    <t xml:space="preserve">Laagenidium spp</t>
  </si>
  <si>
    <t xml:space="preserve">Common Raven (Corvus corax)</t>
  </si>
  <si>
    <t xml:space="preserve">China @ University of Hong Kong @ Hong Kong</t>
  </si>
  <si>
    <t xml:space="preserve">Macau</t>
  </si>
  <si>
    <t xml:space="preserve">Lassa fever</t>
  </si>
  <si>
    <t xml:space="preserve">Common Redshank</t>
  </si>
  <si>
    <t xml:space="preserve">China @ Veterinary Diagnosis Laboratory</t>
  </si>
  <si>
    <t xml:space="preserve">Madagascar</t>
  </si>
  <si>
    <t xml:space="preserve">Leishmaniosis</t>
  </si>
  <si>
    <t xml:space="preserve">Common ringed plover</t>
  </si>
  <si>
    <t xml:space="preserve">China @ Yunnan Animal Science and Veterinary Institute @ Kunming, Yunnan</t>
  </si>
  <si>
    <t xml:space="preserve">Madeira Islands</t>
  </si>
  <si>
    <t xml:space="preserve">Leprosy (Hansen's disease)</t>
  </si>
  <si>
    <t xml:space="preserve">Common sandpiper</t>
  </si>
  <si>
    <t xml:space="preserve">Colombia @ National Laboratory of Vesicular Diseases @ Bogotà</t>
  </si>
  <si>
    <t xml:space="preserve">Malawi</t>
  </si>
  <si>
    <t xml:space="preserve">Leptospirosis</t>
  </si>
  <si>
    <t xml:space="preserve">Common shelduck (Tadorna tadorna)</t>
  </si>
  <si>
    <t xml:space="preserve">Colombia @ National Veterinary Diagnostic Laboratory, ICA-CEISA (national laboratory) @ Bogotá</t>
  </si>
  <si>
    <t xml:space="preserve">Malaysia</t>
  </si>
  <si>
    <t xml:space="preserve">Listeriosis</t>
  </si>
  <si>
    <t xml:space="preserve">Common snipe</t>
  </si>
  <si>
    <t xml:space="preserve">Congo @ Laboratoire de diagnostic vétérinaire de Brazzaville @ Brazzaville</t>
  </si>
  <si>
    <t xml:space="preserve">Maldives</t>
  </si>
  <si>
    <t xml:space="preserve">Livestock parasitic diseases</t>
  </si>
  <si>
    <t xml:space="preserve">Common Tern (Sterna hirundo)</t>
  </si>
  <si>
    <t xml:space="preserve">Costa Rica @ Laboratorio de Parasitología de la Escuela de Medicina Veterinaria de la Universidad Nacional (National laboratory)</t>
  </si>
  <si>
    <t xml:space="preserve">Mali</t>
  </si>
  <si>
    <t xml:space="preserve">Luminescent bacterial diseases</t>
  </si>
  <si>
    <t xml:space="preserve">Common Wood-Pigeon:Columba palumbus(Columbidae)</t>
  </si>
  <si>
    <t xml:space="preserve">Costa Rica @ Laboratory of Virology, Veterinary School of the National University (National Laboratory)</t>
  </si>
  <si>
    <t xml:space="preserve">Malta</t>
  </si>
  <si>
    <t xml:space="preserve">Lumpy skin disease</t>
  </si>
  <si>
    <t xml:space="preserve">Condor</t>
  </si>
  <si>
    <t xml:space="preserve">Costa Rica @ National Veterinary Services Laboratory</t>
  </si>
  <si>
    <t xml:space="preserve">Marshall Islands</t>
  </si>
  <si>
    <t xml:space="preserve">Lumpy wool (Dermatophilus)</t>
  </si>
  <si>
    <t xml:space="preserve">conejo</t>
  </si>
  <si>
    <t xml:space="preserve">Croatia @ Craotian Veterinary Institute (National laboratory) @ Zagreb</t>
  </si>
  <si>
    <t xml:space="preserve">Martinique</t>
  </si>
  <si>
    <t xml:space="preserve">Maedi-visna</t>
  </si>
  <si>
    <t xml:space="preserve">Cooper's hawk</t>
  </si>
  <si>
    <t xml:space="preserve">Croatia @ Poultry Centre of the Croatian Veterinary Institute @ Zagreb</t>
  </si>
  <si>
    <t xml:space="preserve">Ma'tan al-Sarra</t>
  </si>
  <si>
    <t xml:space="preserve">Malignant catarrhal fever</t>
  </si>
  <si>
    <t xml:space="preserve">Cormorant</t>
  </si>
  <si>
    <t xml:space="preserve">Cuba @ Centro Nacional de Sanidad Agropecuaria, CENSA</t>
  </si>
  <si>
    <t xml:space="preserve">Mauritania</t>
  </si>
  <si>
    <t xml:space="preserve">Mange</t>
  </si>
  <si>
    <t xml:space="preserve">Corn crake</t>
  </si>
  <si>
    <t xml:space="preserve">Cuba @ National Center of Epizootiology, Diagnosis and Research (CENEDI) (national laboratory) @ Havana</t>
  </si>
  <si>
    <t xml:space="preserve">Mauritius</t>
  </si>
  <si>
    <t xml:space="preserve">Marburg Hemorrhagic Fever</t>
  </si>
  <si>
    <t xml:space="preserve">Corvus brachyrhynchos: (Corvidae) American crow</t>
  </si>
  <si>
    <t xml:space="preserve">Cuba @ National Microbiology Laboratory, Winnipeg (Private Laboratory)</t>
  </si>
  <si>
    <t xml:space="preserve">Mayotte</t>
  </si>
  <si>
    <t xml:space="preserve">Marek's disease</t>
  </si>
  <si>
    <t xml:space="preserve">Cougar (Puma concolor)</t>
  </si>
  <si>
    <t xml:space="preserve">Cuba @ Virology Department, Pedro Kouri @ Havana</t>
  </si>
  <si>
    <t xml:space="preserve">Mexico</t>
  </si>
  <si>
    <t xml:space="preserve">Mastitis</t>
  </si>
  <si>
    <t xml:space="preserve">Crab plover</t>
  </si>
  <si>
    <t xml:space="preserve">Cyprus @ Animal Health Laboratory</t>
  </si>
  <si>
    <t xml:space="preserve">Micronesia (Federated States of)</t>
  </si>
  <si>
    <t xml:space="preserve">MERS-CoV</t>
  </si>
  <si>
    <t xml:space="preserve">Crabs</t>
  </si>
  <si>
    <t xml:space="preserve">Cyprus @ State Veterinary Laboratories (National Laboratory)</t>
  </si>
  <si>
    <t xml:space="preserve">Midway Island</t>
  </si>
  <si>
    <t xml:space="preserve">Microsporidian infection</t>
  </si>
  <si>
    <t xml:space="preserve">Crane</t>
  </si>
  <si>
    <t xml:space="preserve">Cyprus @ State Veterinary Laboratories @ Larnaca</t>
  </si>
  <si>
    <t xml:space="preserve">Monaco</t>
  </si>
  <si>
    <t xml:space="preserve">Mikrocytos mackini</t>
  </si>
  <si>
    <t xml:space="preserve">Crayfish</t>
  </si>
  <si>
    <t xml:space="preserve">Cyprus @ Veterinary Services Virology Laboratory</t>
  </si>
  <si>
    <t xml:space="preserve">Mongolia</t>
  </si>
  <si>
    <t xml:space="preserve">Monkey Pox</t>
  </si>
  <si>
    <t xml:space="preserve">Crested goshawk</t>
  </si>
  <si>
    <t xml:space="preserve">Czechia @ State Veterinary Institute (SVI) Laboratory, Jihlava</t>
  </si>
  <si>
    <t xml:space="preserve">Montenegro</t>
  </si>
  <si>
    <t xml:space="preserve">Morbilliviruses  (esp. Peste des Petits Ruminants and Rinderpest)</t>
  </si>
  <si>
    <t xml:space="preserve">Crested Lark</t>
  </si>
  <si>
    <t xml:space="preserve">Czechia @ State Veterinary Institute (SVI), Prague @ Prague</t>
  </si>
  <si>
    <t xml:space="preserve">Montserrat</t>
  </si>
  <si>
    <t xml:space="preserve">Muscle necrosis virus</t>
  </si>
  <si>
    <t xml:space="preserve">Crested myna</t>
  </si>
  <si>
    <t xml:space="preserve">Côte d'Ivoire @ Laboratoire Central Vétérinaire de Bingerville @ Bingerville</t>
  </si>
  <si>
    <t xml:space="preserve">Morocco</t>
  </si>
  <si>
    <t xml:space="preserve">Myxomatosis</t>
  </si>
  <si>
    <t xml:space="preserve">Crocrodile (Crocodilia)</t>
  </si>
  <si>
    <t xml:space="preserve">Côte d'Ivoire @ Laboratoire National d'Appui au Développement Agricole (LANADA)</t>
  </si>
  <si>
    <t xml:space="preserve">Mozambique</t>
  </si>
  <si>
    <t xml:space="preserve">Nairobi sheep disease</t>
  </si>
  <si>
    <t xml:space="preserve">Crow</t>
  </si>
  <si>
    <t xml:space="preserve">Côte d'Ivoire @ Pasteur Institute of Côte d'Ivoire (IPCI)</t>
  </si>
  <si>
    <t xml:space="preserve">Myanmar</t>
  </si>
  <si>
    <t xml:space="preserve">Newcastle disease</t>
  </si>
  <si>
    <t xml:space="preserve">Crowned cormorant (Microcarbo coronatus)</t>
  </si>
  <si>
    <t xml:space="preserve">Democratic People's Republic of Korea @ Central Veterinary Diagnostic Laboratory, Korea</t>
  </si>
  <si>
    <t xml:space="preserve">Namibia</t>
  </si>
  <si>
    <t xml:space="preserve">New world screwworm (Cochliomyia hominivorax)</t>
  </si>
  <si>
    <t xml:space="preserve">Crustaceans: American And Europeans Lobster, Brine Shrimp</t>
  </si>
  <si>
    <t xml:space="preserve">Democratic People's Republic of Korea @ Central Veterinary Station</t>
  </si>
  <si>
    <t xml:space="preserve">Nauru</t>
  </si>
  <si>
    <t xml:space="preserve">Nipah virus encephalitis</t>
  </si>
  <si>
    <t xml:space="preserve">Cuervo</t>
  </si>
  <si>
    <t xml:space="preserve">Democratic People's Republic of Korea @ Institute of the Cells and Gene Engineering, Academy of National Sciences</t>
  </si>
  <si>
    <t xml:space="preserve">Navassa Island</t>
  </si>
  <si>
    <t xml:space="preserve">Old world screwworm (Chrysomya bezziana)</t>
  </si>
  <si>
    <t xml:space="preserve">Curlew</t>
  </si>
  <si>
    <t xml:space="preserve">Democratic People's Republic of Korea @ Laboratory of the Pyongyang Poultry General Complex</t>
  </si>
  <si>
    <t xml:space="preserve">Nepal</t>
  </si>
  <si>
    <t xml:space="preserve">Omphalophlebitis (Navel ill- Joint ill)</t>
  </si>
  <si>
    <t xml:space="preserve">Dalmatian pelican (Pelecanus crispus)</t>
  </si>
  <si>
    <t xml:space="preserve">Democratic People's Republic of Korea @ National Veterinary Research &amp; Quarantine Service</t>
  </si>
  <si>
    <t xml:space="preserve">Netherlands</t>
  </si>
  <si>
    <t xml:space="preserve">Oncorhynchus masou virus disease</t>
  </si>
  <si>
    <t xml:space="preserve">Daubenton's bat</t>
  </si>
  <si>
    <t xml:space="preserve">Democratic People's Republic of Korea @ National Veterinary Research and Quarantine Service (NVRQS)</t>
  </si>
  <si>
    <t xml:space="preserve">Netherlands Antilles</t>
  </si>
  <si>
    <t xml:space="preserve">Orf</t>
  </si>
  <si>
    <t xml:space="preserve">Deer</t>
  </si>
  <si>
    <t xml:space="preserve">Democratic People's Republic of Korea @ Veterinary Research Institute</t>
  </si>
  <si>
    <t xml:space="preserve">New Caledonia</t>
  </si>
  <si>
    <t xml:space="preserve">Ormilo/Encephalitis theliriosis</t>
  </si>
  <si>
    <t xml:space="preserve">Desert Cottontail (Sylvilagus audubonii)</t>
  </si>
  <si>
    <t xml:space="preserve">Democratic Republic of the Congo @ Laboratoire Vétérinaire de Kinshasa - RD Congo @ Kinshasa</t>
  </si>
  <si>
    <t xml:space="preserve">New Zealand</t>
  </si>
  <si>
    <t xml:space="preserve">Other bacterial diseases</t>
  </si>
  <si>
    <t xml:space="preserve">Dickinson's kestrel</t>
  </si>
  <si>
    <t xml:space="preserve">Denmark @ Danish Centre for Experimental Parasitology (DCEP)</t>
  </si>
  <si>
    <t xml:space="preserve">Nicaragua</t>
  </si>
  <si>
    <t xml:space="preserve">Other opportunisstic bacterial pathogen</t>
  </si>
  <si>
    <t xml:space="preserve">Dogs</t>
  </si>
  <si>
    <t xml:space="preserve">Denmark @ Danish Institute for Food and Veterinary Research</t>
  </si>
  <si>
    <t xml:space="preserve">Niger</t>
  </si>
  <si>
    <t xml:space="preserve">Ovine epididymitis (Brucella ovis)</t>
  </si>
  <si>
    <t xml:space="preserve">Dolphin gull (Leucophaeus scoresbii)</t>
  </si>
  <si>
    <t xml:space="preserve">Denmark @ Danish Pest Infestetion Laboratory (DPIL)</t>
  </si>
  <si>
    <t xml:space="preserve">Nigeria</t>
  </si>
  <si>
    <t xml:space="preserve">Ovine pulmonary adenomatosis</t>
  </si>
  <si>
    <t xml:space="preserve">Donkey</t>
  </si>
  <si>
    <t xml:space="preserve">Denmark @ Department of Veterinary Pathobiology</t>
  </si>
  <si>
    <t xml:space="preserve">Niue</t>
  </si>
  <si>
    <t xml:space="preserve">Papilloma Virus (wards)</t>
  </si>
  <si>
    <t xml:space="preserve">Dorcas Gazelle</t>
  </si>
  <si>
    <t xml:space="preserve">Denmark @ Eurofins</t>
  </si>
  <si>
    <t xml:space="preserve">Norfolk Island</t>
  </si>
  <si>
    <t xml:space="preserve">Paraphimosis</t>
  </si>
  <si>
    <t xml:space="preserve">Double-crested Cormorant (Nannopterum Auritum)</t>
  </si>
  <si>
    <t xml:space="preserve">Denmark @ Poultry and Health Production,</t>
  </si>
  <si>
    <t xml:space="preserve">Northern Mariana Islands</t>
  </si>
  <si>
    <t xml:space="preserve">Paratuberculosis</t>
  </si>
  <si>
    <t xml:space="preserve">Dromedary (Camelus dromedarius)</t>
  </si>
  <si>
    <t xml:space="preserve">Denmark @ State Serum Institute (National laboratory, Denmark</t>
  </si>
  <si>
    <t xml:space="preserve">North Macedonia</t>
  </si>
  <si>
    <t xml:space="preserve">Parvovirus</t>
  </si>
  <si>
    <t xml:space="preserve">Duck</t>
  </si>
  <si>
    <t xml:space="preserve">Dominican Republic @ Laboratorio veterinario central (LAVECEN)</t>
  </si>
  <si>
    <t xml:space="preserve">Norway</t>
  </si>
  <si>
    <t xml:space="preserve">Peritrich ciliates</t>
  </si>
  <si>
    <t xml:space="preserve">Eagle owl (Bubo bubo)</t>
  </si>
  <si>
    <t xml:space="preserve">Ecuador @ Izquieta Pérez, north zone, QUITO, Ecuador</t>
  </si>
  <si>
    <t xml:space="preserve">Not Available</t>
  </si>
  <si>
    <t xml:space="preserve">Peste des petits ruminants</t>
  </si>
  <si>
    <t xml:space="preserve">Eared grebe</t>
  </si>
  <si>
    <t xml:space="preserve">Egypt @ Animal Health Research Institute (AHRI) @ Cairo</t>
  </si>
  <si>
    <t xml:space="preserve">Oman</t>
  </si>
  <si>
    <t xml:space="preserve">Phimosis</t>
  </si>
  <si>
    <t xml:space="preserve">East coast akalat</t>
  </si>
  <si>
    <t xml:space="preserve">Egypt @ Cairo-based US Naval Medical Research Unit 3 (NAMRU-3)</t>
  </si>
  <si>
    <t xml:space="preserve">Pakistan</t>
  </si>
  <si>
    <t xml:space="preserve">Plague</t>
  </si>
  <si>
    <t xml:space="preserve">Eastern buzzard:Buteo japonicus(Accipitridae)</t>
  </si>
  <si>
    <t xml:space="preserve">Egypt @ Central Laboratory for Quality Control of Poultry Production (CLQP) @ Cairo</t>
  </si>
  <si>
    <t xml:space="preserve">Palau</t>
  </si>
  <si>
    <t xml:space="preserve">Poisoning</t>
  </si>
  <si>
    <t xml:space="preserve">Eastern Cottontail:Sylvilagus floridanus(Leporidae)</t>
  </si>
  <si>
    <t xml:space="preserve">Egypt @ Central Public Health Laboratories</t>
  </si>
  <si>
    <t xml:space="preserve">Palestine</t>
  </si>
  <si>
    <t xml:space="preserve">Porcine cysticercosis</t>
  </si>
  <si>
    <t xml:space="preserve">Eastern green tinkerbird</t>
  </si>
  <si>
    <t xml:space="preserve">Egypt @ Central Public Health Laboratory @ Cairo</t>
  </si>
  <si>
    <t xml:space="preserve">Palmyra Atoll</t>
  </si>
  <si>
    <t xml:space="preserve">Porcine Enteroviral encephalomyelitis</t>
  </si>
  <si>
    <t xml:space="preserve">Eastern Grey Kangaroo (Macropus giganteus)</t>
  </si>
  <si>
    <t xml:space="preserve">Egypt @ National Laboratory for Veterinary Quality Control on Poultry Production (NLQP) @ Giza</t>
  </si>
  <si>
    <t xml:space="preserve">Panama</t>
  </si>
  <si>
    <t xml:space="preserve">Porcine epidemic diarrhea</t>
  </si>
  <si>
    <t xml:space="preserve">Eastern red footed falcon</t>
  </si>
  <si>
    <t xml:space="preserve">El Salvador @ Laboratorio nacional de diagnostico veterinario y control de calidad (DGSVA-MAG) (National laboratory)</t>
  </si>
  <si>
    <t xml:space="preserve">Papua New Guinea</t>
  </si>
  <si>
    <t xml:space="preserve">Porcine reproductive and respiratory syndrome</t>
  </si>
  <si>
    <t xml:space="preserve">Egret</t>
  </si>
  <si>
    <t xml:space="preserve">Equatorial Guinea @ Laboratoire National ECAA-KM 7 @ Bata-Niefang</t>
  </si>
  <si>
    <t xml:space="preserve">Paracel Islands</t>
  </si>
  <si>
    <t xml:space="preserve">Postweaning Multisystemic Wasting Syndrome (PMWS)</t>
  </si>
  <si>
    <t xml:space="preserve">Egyptian Goose (Alopochen aegyptiacus)</t>
  </si>
  <si>
    <t xml:space="preserve">Eswatini @ Central Veterinary Diagnostic Laboratory @ Manzini</t>
  </si>
  <si>
    <t xml:space="preserve">Paraguay</t>
  </si>
  <si>
    <t xml:space="preserve">Psittacosis(Chlamydophila psittaci)</t>
  </si>
  <si>
    <t xml:space="preserve">Eland</t>
  </si>
  <si>
    <t xml:space="preserve">Ethiopia @ National Animal Health Diagnostic Investigation Centre (NAHDIC) @ Sebeta</t>
  </si>
  <si>
    <t xml:space="preserve">Peru</t>
  </si>
  <si>
    <t xml:space="preserve">Pullorum disease</t>
  </si>
  <si>
    <t xml:space="preserve">Elephant (African Elephant)</t>
  </si>
  <si>
    <t xml:space="preserve">Finland @ Finnish Food Safety Authority @ Kuopio</t>
  </si>
  <si>
    <t xml:space="preserve">Philippines</t>
  </si>
  <si>
    <t xml:space="preserve">Q fever</t>
  </si>
  <si>
    <t xml:space="preserve">Emu (Dromaius novaehollandiae)</t>
  </si>
  <si>
    <t xml:space="preserve">Finland @ Fish Food Safety Authority, Evira, Finland @ Helsinki</t>
  </si>
  <si>
    <t xml:space="preserve">Pitcairn Islands</t>
  </si>
  <si>
    <t xml:space="preserve">Rabbit haemorrhagic disease</t>
  </si>
  <si>
    <t xml:space="preserve">Equidae</t>
  </si>
  <si>
    <t xml:space="preserve">Finland @ National Institute for Health and Welfare (THL) @ Helsinki</t>
  </si>
  <si>
    <t xml:space="preserve">Poland</t>
  </si>
  <si>
    <t xml:space="preserve">Rabies</t>
  </si>
  <si>
    <t xml:space="preserve">Eurasian Blackbird (Turdus merula)</t>
  </si>
  <si>
    <t xml:space="preserve">Finland @ Veterinary Institute, Copenhagen, Denmark (Regional Reference Laboratory) @ Copenhagen</t>
  </si>
  <si>
    <t xml:space="preserve">Portugal</t>
  </si>
  <si>
    <t xml:space="preserve">Ranavirus</t>
  </si>
  <si>
    <t xml:space="preserve">Eurasian buzzard (common buzzard):Buteo buteo(Accipitridae)</t>
  </si>
  <si>
    <t xml:space="preserve">France @ AFSSA, Lyon @ Lyon</t>
  </si>
  <si>
    <t xml:space="preserve">Puerto Rico</t>
  </si>
  <si>
    <t xml:space="preserve">Red sea bream iridoviral disease</t>
  </si>
  <si>
    <t xml:space="preserve">Eurasian Collared Dove (Streptopelia decaocto)</t>
  </si>
  <si>
    <t xml:space="preserve">France @ AFSSA-Ploufragan @ Ploufragan</t>
  </si>
  <si>
    <t xml:space="preserve">Qatar</t>
  </si>
  <si>
    <t xml:space="preserve">Red sternum syndrome</t>
  </si>
  <si>
    <t xml:space="preserve">Eurasian coot (Fulica atra)</t>
  </si>
  <si>
    <t xml:space="preserve">France @ Agence Nationale du Médicament Vétérinaire, ANMV</t>
  </si>
  <si>
    <t xml:space="preserve">Republic of Korea</t>
  </si>
  <si>
    <t xml:space="preserve">Reovirus</t>
  </si>
  <si>
    <t xml:space="preserve">Eurasian Eagle-Owl:Bubo bubo(Strigidae)</t>
  </si>
  <si>
    <t xml:space="preserve">France @ Agence française de sécurité sanitaire des aliments (AFSSA)</t>
  </si>
  <si>
    <t xml:space="preserve">Republic of Moldova</t>
  </si>
  <si>
    <t xml:space="preserve">Rickettsiosis</t>
  </si>
  <si>
    <t xml:space="preserve">Eurasian Oystercatcher</t>
  </si>
  <si>
    <t xml:space="preserve">France @ Agence française de sécurité sanitaire des aliments - Sophia-Antipolis -l’AFSSA-LERPRA @ Biot</t>
  </si>
  <si>
    <t xml:space="preserve">Réunion</t>
  </si>
  <si>
    <t xml:space="preserve">Rift Valley fever</t>
  </si>
  <si>
    <t xml:space="preserve">Eurasian Sparrowhawk:Accipiter nisus(Accipitridae)</t>
  </si>
  <si>
    <t xml:space="preserve">France @ Ain department laboratory @ Ain</t>
  </si>
  <si>
    <t xml:space="preserve">Romania</t>
  </si>
  <si>
    <t xml:space="preserve">Rinderpest</t>
  </si>
  <si>
    <t xml:space="preserve">Eurasian Spoonbill (Platalea leucorodia)</t>
  </si>
  <si>
    <t xml:space="preserve">France @ Bouches du Rhône Department Laboratory</t>
  </si>
  <si>
    <t xml:space="preserve">Russian Federation</t>
  </si>
  <si>
    <t xml:space="preserve">Ruminant Mycoplasmoses</t>
  </si>
  <si>
    <t xml:space="preserve">Eurasian Tree Sparrow</t>
  </si>
  <si>
    <t xml:space="preserve">France @ CEA (Commissariat à l’énergie atomique) @ Fontenay-aux-Roses</t>
  </si>
  <si>
    <t xml:space="preserve">Rwanda</t>
  </si>
  <si>
    <t xml:space="preserve">Salmonellosis (S. abortusovis)</t>
  </si>
  <si>
    <t xml:space="preserve">Eurasian Wigeon:Anas penelope(Anatidae)</t>
  </si>
  <si>
    <t xml:space="preserve">France @ CEA, Saclay and Fontenayaux-</t>
  </si>
  <si>
    <t xml:space="preserve">Saint Helena, Ascension and Tristan da Cunha</t>
  </si>
  <si>
    <t xml:space="preserve">Schmallenberg</t>
  </si>
  <si>
    <t xml:space="preserve">European pine marten</t>
  </si>
  <si>
    <t xml:space="preserve">France @ CEA, Saclay and Fontenayaux-Roses @ Saclay and Fontenay-aux-Roses</t>
  </si>
  <si>
    <t xml:space="preserve">Saint Kitts and Nevis</t>
  </si>
  <si>
    <t xml:space="preserve">Scrapie</t>
  </si>
  <si>
    <t xml:space="preserve">European Rabbit (Oryctolagus cuniculus)</t>
  </si>
  <si>
    <t xml:space="preserve">France @ CIRAD - Centre de Coopération Internationale en Recherche Agronomique pour le Développement @ Paris</t>
  </si>
  <si>
    <t xml:space="preserve">Saint Lucia</t>
  </si>
  <si>
    <t xml:space="preserve">Sheep pox and goat pox</t>
  </si>
  <si>
    <t xml:space="preserve">European turtle dove</t>
  </si>
  <si>
    <t xml:space="preserve">France @ CIRAD - Département Systèmes Biologiques</t>
  </si>
  <si>
    <t xml:space="preserve">Saint Pierre and Miquelon</t>
  </si>
  <si>
    <t xml:space="preserve">Small hive beetle infestation (Aethina tumida)</t>
  </si>
  <si>
    <t xml:space="preserve">Fallow Deer:Dama dama(Cervidae)</t>
  </si>
  <si>
    <t xml:space="preserve">France @ Centre Hospitalier de Mayotte</t>
  </si>
  <si>
    <t xml:space="preserve">Saint Vincent and the Grenadines</t>
  </si>
  <si>
    <t xml:space="preserve">Spherical baculovirosis (Penaeus monodon-type baculovirus)</t>
  </si>
  <si>
    <t xml:space="preserve">Feral pig</t>
  </si>
  <si>
    <t xml:space="preserve">France @ Centre de recherche et de veille sur les maladies émergentes dans l'Océan Indien (CRVOI) (regional reference laboratory) @ Sainte Clotilde</t>
  </si>
  <si>
    <t xml:space="preserve">Samoa</t>
  </si>
  <si>
    <t xml:space="preserve">Spring viraemia of carp</t>
  </si>
  <si>
    <t xml:space="preserve">Ferret</t>
  </si>
  <si>
    <t xml:space="preserve">France @ Côtes-d'Armor Department Laboratory</t>
  </si>
  <si>
    <t xml:space="preserve">San Marino</t>
  </si>
  <si>
    <t xml:space="preserve">Starvation</t>
  </si>
  <si>
    <t xml:space="preserve">Ferret-badger</t>
  </si>
  <si>
    <t xml:space="preserve">France @ Département Systèmes Biologiques, Contrôle des maladies animales exotiques et émergentes * @ Montepellier</t>
  </si>
  <si>
    <t xml:space="preserve">Sao Tome and Principe</t>
  </si>
  <si>
    <t xml:space="preserve">Strangles</t>
  </si>
  <si>
    <t xml:space="preserve">Ferruginous Duck (Aythya nyroca)</t>
  </si>
  <si>
    <t xml:space="preserve">France @ INRA, Tours and Jouy-en-Josas</t>
  </si>
  <si>
    <t xml:space="preserve">Saudi Arabia</t>
  </si>
  <si>
    <t xml:space="preserve">Streptococcus suis</t>
  </si>
  <si>
    <t xml:space="preserve">Fischer's turaco</t>
  </si>
  <si>
    <t xml:space="preserve">France @ Institut Pasteur</t>
  </si>
  <si>
    <t xml:space="preserve">Scarborough Reef</t>
  </si>
  <si>
    <t xml:space="preserve">Suctorian ciliates</t>
  </si>
  <si>
    <t xml:space="preserve">Fishing cat (Prionailurus viverrinus)</t>
  </si>
  <si>
    <t xml:space="preserve">France @ Institut Pasteur - Unité de génétique moléculaire des Bunyavirus, Département de Virologie @ Paris</t>
  </si>
  <si>
    <t xml:space="preserve">Senegal</t>
  </si>
  <si>
    <t xml:space="preserve">Surra (Trypanosoma evansi)</t>
  </si>
  <si>
    <t xml:space="preserve">Fowl</t>
  </si>
  <si>
    <t xml:space="preserve">France @ Institut Pasteur - Unité des Bactéries anaérobies et Toxines</t>
  </si>
  <si>
    <t xml:space="preserve">Senkaku Islands</t>
  </si>
  <si>
    <t xml:space="preserve">Swine dysentry</t>
  </si>
  <si>
    <t xml:space="preserve">Fox</t>
  </si>
  <si>
    <t xml:space="preserve">France @ Institut départemental d'analyse et de recherche (IDAC) (Local laboratory)</t>
  </si>
  <si>
    <t xml:space="preserve">Serbia</t>
  </si>
  <si>
    <t xml:space="preserve">Swine influenza</t>
  </si>
  <si>
    <t xml:space="preserve">Franklin's Gull</t>
  </si>
  <si>
    <t xml:space="preserve">France @ Laboratoire d'étude et de recherches avicoles porcines et piscicoles @ Ploufragan</t>
  </si>
  <si>
    <t xml:space="preserve">Seychelles</t>
  </si>
  <si>
    <t xml:space="preserve">Swine Novel Enteric Corona Virus disease</t>
  </si>
  <si>
    <t xml:space="preserve">Fulvous Whistling-Duck</t>
  </si>
  <si>
    <t xml:space="preserve">France @ Laboratoire d'études et de recherches en Pathologie animale et zoonoses</t>
  </si>
  <si>
    <t xml:space="preserve">Sierra Leone</t>
  </si>
  <si>
    <t xml:space="preserve">Swine vesicular disease</t>
  </si>
  <si>
    <t xml:space="preserve">Gadwall</t>
  </si>
  <si>
    <t xml:space="preserve">France @ Laboratoire de Biologie, Centre Hospitalier de Mayotte</t>
  </si>
  <si>
    <t xml:space="preserve">Singapore</t>
  </si>
  <si>
    <t xml:space="preserve">Taura syndrome</t>
  </si>
  <si>
    <t xml:space="preserve">Garganey (Anas querquedula)</t>
  </si>
  <si>
    <t xml:space="preserve">France @ Laboratoire de Génétique Aquaculture et Pathologie @ La Tremblade</t>
  </si>
  <si>
    <t xml:space="preserve">Slovakia</t>
  </si>
  <si>
    <t xml:space="preserve">Teschovirus encephalomyelitis</t>
  </si>
  <si>
    <t xml:space="preserve">Gaur (Bos gaurus)</t>
  </si>
  <si>
    <t xml:space="preserve">France @ Laboratoire de Pathologie Bovine et Hygiène des Viandes Résistance aux produits phytosanitaires @ Lyon</t>
  </si>
  <si>
    <t xml:space="preserve">Slovenia</t>
  </si>
  <si>
    <t xml:space="preserve">Tetanus</t>
  </si>
  <si>
    <t xml:space="preserve">Gayal (Bos frontalis)</t>
  </si>
  <si>
    <t xml:space="preserve">France @ Laboratoire de la faune sauvage de Nancy, Technopôle agricole et vétérinaire @ Malzeville</t>
  </si>
  <si>
    <t xml:space="preserve">Solomon Islands</t>
  </si>
  <si>
    <t xml:space="preserve">Tetrahedral baculovirosis (Baculovirus penaei)</t>
  </si>
  <si>
    <t xml:space="preserve">Giraffe</t>
  </si>
  <si>
    <t xml:space="preserve">France @ Laboratoire de santé animale, Unité Zoonoses Bactériennes @ Maisons-Alfort</t>
  </si>
  <si>
    <t xml:space="preserve">Somalia</t>
  </si>
  <si>
    <t xml:space="preserve">Theileriosis</t>
  </si>
  <si>
    <t xml:space="preserve">Glossy Ibis</t>
  </si>
  <si>
    <t xml:space="preserve">France @ Laboratoire départemental d'analyses des Pyrénées-Atlantiques @ Lagor</t>
  </si>
  <si>
    <t xml:space="preserve">South Africa</t>
  </si>
  <si>
    <t xml:space="preserve">Third eyelid prolapse</t>
  </si>
  <si>
    <t xml:space="preserve">Goats</t>
  </si>
  <si>
    <t xml:space="preserve">France @ Laboratoire d’'Etudes et de Recherches Caprines @ Niort</t>
  </si>
  <si>
    <t xml:space="preserve">South Georgia and the South Sandwich Islands</t>
  </si>
  <si>
    <t xml:space="preserve">Three days sickness</t>
  </si>
  <si>
    <t xml:space="preserve">Goat/sheep</t>
  </si>
  <si>
    <t xml:space="preserve">France @ National Reference Laboratory</t>
  </si>
  <si>
    <t xml:space="preserve">South Sudan</t>
  </si>
  <si>
    <t xml:space="preserve">Tick-borne encephalitis</t>
  </si>
  <si>
    <t xml:space="preserve">Goitered gazelle (Gazella subgutturosa)</t>
  </si>
  <si>
    <t xml:space="preserve">France @ Veterinary Schools, Toulouse and Paris</t>
  </si>
  <si>
    <t xml:space="preserve">Spain</t>
  </si>
  <si>
    <t xml:space="preserve">Toxoplasmosis</t>
  </si>
  <si>
    <t xml:space="preserve">Goosander</t>
  </si>
  <si>
    <t xml:space="preserve">Gabon @ Laboratoire National vétérinaire de Libreville @ Libreville</t>
  </si>
  <si>
    <t xml:space="preserve">Spratly Islands</t>
  </si>
  <si>
    <t xml:space="preserve">Transmissible gastroenteritis</t>
  </si>
  <si>
    <t xml:space="preserve">Goose</t>
  </si>
  <si>
    <t xml:space="preserve">Gambia @ Central Veterinary Laboratory of Gambia @ Abuko</t>
  </si>
  <si>
    <t xml:space="preserve">Sri Lanka</t>
  </si>
  <si>
    <t xml:space="preserve">Transmissible venereal tumor (TVT)</t>
  </si>
  <si>
    <t xml:space="preserve">Gorilla (Gorilla gorilla)</t>
  </si>
  <si>
    <t xml:space="preserve">Gambia @ International Trypanotolerance Centre</t>
  </si>
  <si>
    <t xml:space="preserve">Sudan</t>
  </si>
  <si>
    <t xml:space="preserve">Trauma/injury/fracture</t>
  </si>
  <si>
    <t xml:space="preserve">Goshawk</t>
  </si>
  <si>
    <t xml:space="preserve">Georgia @ Centre of Veterinary Diagnostics and Expertise</t>
  </si>
  <si>
    <t xml:space="preserve">Suriname</t>
  </si>
  <si>
    <t xml:space="preserve">Traumatic Reticulopericarditis</t>
  </si>
  <si>
    <t xml:space="preserve">Gray Seal (Halichoerus grypus):Phocidae-Carnivora</t>
  </si>
  <si>
    <t xml:space="preserve">Georgia @ National Centre for Disease Control</t>
  </si>
  <si>
    <t xml:space="preserve">Svalbard and Jan Mayen Islands</t>
  </si>
  <si>
    <t xml:space="preserve">Trichinellosis</t>
  </si>
  <si>
    <t xml:space="preserve">Great Black-backed Gull (Larus marinus)</t>
  </si>
  <si>
    <t xml:space="preserve">Germany @ Bavarian Department for Health and Food Safety @ Oberschleißheim</t>
  </si>
  <si>
    <t xml:space="preserve">Sweden</t>
  </si>
  <si>
    <t xml:space="preserve">Trichomonosis</t>
  </si>
  <si>
    <t xml:space="preserve">Great Black-headed Gull (Ichthyaetus ichthyaetus)</t>
  </si>
  <si>
    <t xml:space="preserve">Germany @ Bundesinstitut für Risikobewertung (Federal Institute for Risk Assessment) @ Berlin</t>
  </si>
  <si>
    <t xml:space="preserve">Switzerland</t>
  </si>
  <si>
    <t xml:space="preserve">Tropilaelaps infestation of honey bees</t>
  </si>
  <si>
    <t xml:space="preserve">Great blue heron</t>
  </si>
  <si>
    <t xml:space="preserve">Germany @ Chemisches und Veterinäruntersuchungsamt Freiburg @ Freiburg</t>
  </si>
  <si>
    <t xml:space="preserve">Syrian Arab Republic</t>
  </si>
  <si>
    <t xml:space="preserve">Trypanosomosis (tsetse-transmitted)</t>
  </si>
  <si>
    <t xml:space="preserve">Great Cormorant (Phalacrocorax carbo)</t>
  </si>
  <si>
    <t xml:space="preserve">Germany @ FLI</t>
  </si>
  <si>
    <t xml:space="preserve">Tajikistan</t>
  </si>
  <si>
    <t xml:space="preserve">Tuberculosis</t>
  </si>
  <si>
    <t xml:space="preserve">Great crested grebe (Podiceps cristatus)</t>
  </si>
  <si>
    <t xml:space="preserve">Germany @ Federal Research Centre for Virus Diseases of Animals (BFAV) @ Insel Riems</t>
  </si>
  <si>
    <t xml:space="preserve">Thailand</t>
  </si>
  <si>
    <t xml:space="preserve">Tularemia</t>
  </si>
  <si>
    <t xml:space="preserve">Great Crested Grebe:Podiceps Cristatus(Podicipedidae)</t>
  </si>
  <si>
    <t xml:space="preserve">Germany @ Federal Research Institute for Animal Health @ Wusterhausen</t>
  </si>
  <si>
    <t xml:space="preserve">Timor-Leste</t>
  </si>
  <si>
    <t xml:space="preserve">Turkey rhinotracheitis</t>
  </si>
  <si>
    <t xml:space="preserve">Great egret (Ardea alba)</t>
  </si>
  <si>
    <t xml:space="preserve">Germany @ Friedrich-Loeffler-Institut (FLI) @ Insel Riems</t>
  </si>
  <si>
    <t xml:space="preserve">Togo</t>
  </si>
  <si>
    <t xml:space="preserve">Unknown disease</t>
  </si>
  <si>
    <t xml:space="preserve">Greater cane rat or Grasscutter (Thryonomys swinderianus)</t>
  </si>
  <si>
    <t xml:space="preserve">Germany @ Friedrich-Loeffler-Institut, Reims</t>
  </si>
  <si>
    <t xml:space="preserve">Tokelau</t>
  </si>
  <si>
    <t xml:space="preserve">Uterine Prolapse</t>
  </si>
  <si>
    <t xml:space="preserve">Greater flamingo (Phoenicopterus roseus)</t>
  </si>
  <si>
    <t xml:space="preserve">Germany @ Institut für Bienenkunde CELLE</t>
  </si>
  <si>
    <t xml:space="preserve">Tonga</t>
  </si>
  <si>
    <t xml:space="preserve">Varroa mites</t>
  </si>
  <si>
    <t xml:space="preserve">Greater frigate bird</t>
  </si>
  <si>
    <t xml:space="preserve">Germany @ Institute for Diagnosis of Animal Diseases (Regional Reference Laboratory) @ Koblenz</t>
  </si>
  <si>
    <t xml:space="preserve">Trinidad and Tobago</t>
  </si>
  <si>
    <t xml:space="preserve">Varroosis of honey bees</t>
  </si>
  <si>
    <t xml:space="preserve">Greater Kudu</t>
  </si>
  <si>
    <t xml:space="preserve">Germany @ Institute of Veterinary Pathology (Regional Reference Laboratory) @ Leipzig</t>
  </si>
  <si>
    <t xml:space="preserve">Tromelin Island</t>
  </si>
  <si>
    <t xml:space="preserve">Vector-borne diseases</t>
  </si>
  <si>
    <t xml:space="preserve">Greater Painted Snipe</t>
  </si>
  <si>
    <t xml:space="preserve">Germany @ Institute of Virology, Department of Infectious Diseases @ Hannover</t>
  </si>
  <si>
    <t xml:space="preserve">Tunisia</t>
  </si>
  <si>
    <t xml:space="preserve">Venezuelan equine encephalomyelitis</t>
  </si>
  <si>
    <t xml:space="preserve">Greater Rhea (Rhea americana)</t>
  </si>
  <si>
    <t xml:space="preserve">Germany @ Institute of virology (Veterinary Medicine) @ Berlin</t>
  </si>
  <si>
    <t xml:space="preserve">Türkiye</t>
  </si>
  <si>
    <t xml:space="preserve">Vesicular stomatitis</t>
  </si>
  <si>
    <t xml:space="preserve">Greater Sand Plover</t>
  </si>
  <si>
    <t xml:space="preserve">Germany @ Landesamt für Lebensmittelsicherheit und Verbraucherschutz (Regional Reference Laboratory)</t>
  </si>
  <si>
    <t xml:space="preserve">Turkmenistan</t>
  </si>
  <si>
    <t xml:space="preserve">Vibrio alginolyticus</t>
  </si>
  <si>
    <t xml:space="preserve">Greater scaup</t>
  </si>
  <si>
    <t xml:space="preserve">Germany @ Landeslabor Berlin-Brandenburg (Regional Reference Laboratory) @ Berlin</t>
  </si>
  <si>
    <t xml:space="preserve">Turks and Caicos islands</t>
  </si>
  <si>
    <t xml:space="preserve">Vibrio anguillarum/Red sorted disease</t>
  </si>
  <si>
    <t xml:space="preserve">Greater White-fronted Goose (Anser albifrons)</t>
  </si>
  <si>
    <t xml:space="preserve">Germany @ Landesuntersuchungsamt Krefeld - National Laboratory</t>
  </si>
  <si>
    <t xml:space="preserve">Tuvalu</t>
  </si>
  <si>
    <t xml:space="preserve">Vibrio harveyi</t>
  </si>
  <si>
    <t xml:space="preserve">Greater Yellowlegs</t>
  </si>
  <si>
    <t xml:space="preserve">Germany @ Mecklenburg-Vorpommern Laboratory</t>
  </si>
  <si>
    <t xml:space="preserve">Uganda</t>
  </si>
  <si>
    <t xml:space="preserve">Vibrio parahemolytcus/ scale diseases</t>
  </si>
  <si>
    <t xml:space="preserve">Great Horned Owl (Bubo Virginianus)</t>
  </si>
  <si>
    <t xml:space="preserve">Germany @ State Office for Consumer Protection, Saxony-Anhalt (Regional Reference Laboratory)</t>
  </si>
  <si>
    <t xml:space="preserve">Ukraine</t>
  </si>
  <si>
    <t xml:space="preserve">Viral encephalopathy and retinopathy</t>
  </si>
  <si>
    <t xml:space="preserve">Great Myna (Acridotheres grandis)</t>
  </si>
  <si>
    <t xml:space="preserve">Germany @ University of Veterinary Medicine - Hannover @ Hannover</t>
  </si>
  <si>
    <t xml:space="preserve">United Arab Emirates</t>
  </si>
  <si>
    <t xml:space="preserve">Viral Haemorrhagic Fevers</t>
  </si>
  <si>
    <t xml:space="preserve">Great Reed Warbler</t>
  </si>
  <si>
    <t xml:space="preserve">Ghana @ Accra Veterinary Laboratory @ Accra</t>
  </si>
  <si>
    <t xml:space="preserve">United Kingdom</t>
  </si>
  <si>
    <t xml:space="preserve">Wax moths</t>
  </si>
  <si>
    <t xml:space="preserve">Great snipe</t>
  </si>
  <si>
    <t xml:space="preserve">Ghana @ Noguchi Memorial Institute for Medical Research</t>
  </si>
  <si>
    <t xml:space="preserve">United Republic of Tanzania</t>
  </si>
  <si>
    <t xml:space="preserve">Western equine encephalomyelitis</t>
  </si>
  <si>
    <t xml:space="preserve">Grebe</t>
  </si>
  <si>
    <t xml:space="preserve">Greece @ Center of Athens Veterinary Institutes, Institute of Infectious and Parasitic Diseases, Virology Department @ Athens</t>
  </si>
  <si>
    <t xml:space="preserve">United States of America</t>
  </si>
  <si>
    <t xml:space="preserve">West Nile Fever</t>
  </si>
  <si>
    <t xml:space="preserve">Green backed twin spot</t>
  </si>
  <si>
    <t xml:space="preserve">Greece @ Central Public Health Laboratories, Greece</t>
  </si>
  <si>
    <t xml:space="preserve">United States Virgin Islands</t>
  </si>
  <si>
    <t xml:space="preserve">White spot disease</t>
  </si>
  <si>
    <t xml:space="preserve">Green Pigeon</t>
  </si>
  <si>
    <t xml:space="preserve">Greece @ Centre of Veterinary Institutions of Thessaloniki @ Thessaloniki</t>
  </si>
  <si>
    <t xml:space="preserve">Uruguay</t>
  </si>
  <si>
    <t xml:space="preserve">White spot syndrome virus</t>
  </si>
  <si>
    <t xml:space="preserve">Green sandpiper</t>
  </si>
  <si>
    <t xml:space="preserve">Greece @ Laboratory of Microbiology and Infectious Diseases, Faculty of Veterinary Medicine, Aristotle University of Thessaloniki @ Thessaloniki</t>
  </si>
  <si>
    <t xml:space="preserve">Uzbekistan</t>
  </si>
  <si>
    <t xml:space="preserve">White tail disease</t>
  </si>
  <si>
    <t xml:space="preserve">Green-winged teal/Eurasian teal</t>
  </si>
  <si>
    <t xml:space="preserve">Greece @ National Reference Laboratory for Newcastle Disease, Athens @ Athens</t>
  </si>
  <si>
    <t xml:space="preserve">Vanuatu</t>
  </si>
  <si>
    <t xml:space="preserve">Wound/Abcess</t>
  </si>
  <si>
    <t xml:space="preserve">Grey crowned crane:Balearica regulorum(Gruidae)</t>
  </si>
  <si>
    <t xml:space="preserve">Guadeloupe @ CIRAD et AFSSA</t>
  </si>
  <si>
    <t xml:space="preserve">Venezuela (Bolivarian Republic of)</t>
  </si>
  <si>
    <t xml:space="preserve">Yellow fever</t>
  </si>
  <si>
    <t xml:space="preserve">Grey headed gull (Chroicocephalus cirrocephalus)</t>
  </si>
  <si>
    <t xml:space="preserve">Guatemala @ Animal Health Diagnostic Laboratory</t>
  </si>
  <si>
    <t xml:space="preserve">Viet Nam</t>
  </si>
  <si>
    <t xml:space="preserve">Yellow head disease</t>
  </si>
  <si>
    <t xml:space="preserve">Grey Heron:Ardea cinerea(Ardeidae)</t>
  </si>
  <si>
    <t xml:space="preserve">Guinea @ Laboratoire Central vétérinaire Diagnostic de Conakry @ Conakry</t>
  </si>
  <si>
    <t xml:space="preserve">Wake Island</t>
  </si>
  <si>
    <t xml:space="preserve">Yezo virus</t>
  </si>
  <si>
    <t xml:space="preserve">Greylag goose</t>
  </si>
  <si>
    <t xml:space="preserve">Guinea-Bissau @ Laboratorio Nacional da Veterinaria @ Bissau</t>
  </si>
  <si>
    <t xml:space="preserve">Wallis and Futuna Islands</t>
  </si>
  <si>
    <t xml:space="preserve">Greylag Goose:Anser anser(Anatidae)</t>
  </si>
  <si>
    <t xml:space="preserve">Haiti @ Laboratoires des Services vétérinaires nationaux</t>
  </si>
  <si>
    <t xml:space="preserve">Western Sahara</t>
  </si>
  <si>
    <t xml:space="preserve">Grey Partridge:Perdix perdix(Phasianidae)</t>
  </si>
  <si>
    <t xml:space="preserve">Haiti @ National Veterinary Services Laboratories</t>
  </si>
  <si>
    <t xml:space="preserve">Yemen</t>
  </si>
  <si>
    <t xml:space="preserve">Gruidae (unidentified):Gruidae (incognita)(Gruidae)</t>
  </si>
  <si>
    <t xml:space="preserve">Honduras @ Epidemiological Research Institute of Honduras</t>
  </si>
  <si>
    <t xml:space="preserve">Zambia</t>
  </si>
  <si>
    <t xml:space="preserve">Guinea fowl</t>
  </si>
  <si>
    <t xml:space="preserve">Honduras @ Veterinary Medical Research Institute</t>
  </si>
  <si>
    <t xml:space="preserve">Zimbabwe</t>
  </si>
  <si>
    <t xml:space="preserve">Gull</t>
  </si>
  <si>
    <t xml:space="preserve">Hungary @ Central Agricultural Office, Directorate of Veterinary Medicinal Products. @ Budapest</t>
  </si>
  <si>
    <t xml:space="preserve">Haematopodidae (unidentified):Haematopodidae (incognita)(Haematopodidae)</t>
  </si>
  <si>
    <t xml:space="preserve">Hungary @ Central Veterinary Institute (CVI), Debrecen @ Debrecen</t>
  </si>
  <si>
    <t xml:space="preserve">Halcón</t>
  </si>
  <si>
    <t xml:space="preserve">Hungary @ Central Veterinary Instutute, Budapest (National Laboratory) @ Budapest</t>
  </si>
  <si>
    <t xml:space="preserve">Hamster (Rodentia)</t>
  </si>
  <si>
    <t xml:space="preserve">Hungary @ Veterinary Diagnostic Directorate of CAO (National laboratory)</t>
  </si>
  <si>
    <t xml:space="preserve">Harbor Seal (Phoca vitulina):Phocidae-Carnivora</t>
  </si>
  <si>
    <t xml:space="preserve">Iceland @ Institute for Experimental Pathology at Keldur, Iceland (National laboratory)</t>
  </si>
  <si>
    <t xml:space="preserve">Hare</t>
  </si>
  <si>
    <t xml:space="preserve">India @ C.Abdul Hakeem College, Aquaculture Biotechnology, DivisionDepartment of Zoology @ Vellore</t>
  </si>
  <si>
    <t xml:space="preserve">Harris's hawk (Parabuteo unicinctus)</t>
  </si>
  <si>
    <t xml:space="preserve">India @ Eastern Region Disease Diagnostic Laboratory (ERDDL) @ Kolkata</t>
  </si>
  <si>
    <t xml:space="preserve">Hartlaub's gull (Chroicocephalus hartlaubii)</t>
  </si>
  <si>
    <t xml:space="preserve">India @ High Security Animal Disease Laboratory (HSADL) @ Bhopal</t>
  </si>
  <si>
    <t xml:space="preserve">Hawk</t>
  </si>
  <si>
    <t xml:space="preserve">India @ Indian Council of Agricultural Research (ICAR) @ New Delhi</t>
  </si>
  <si>
    <t xml:space="preserve">Helmeted guineafowl (Numida meleagris)</t>
  </si>
  <si>
    <t xml:space="preserve">India @ Indian Veterinary Research Institute - Division of Veterinary Public Health</t>
  </si>
  <si>
    <t xml:space="preserve">Heron</t>
  </si>
  <si>
    <t xml:space="preserve">India @ National Institute of Virology</t>
  </si>
  <si>
    <t xml:space="preserve">Herring Gull:Larus argentatus(Laridae)</t>
  </si>
  <si>
    <t xml:space="preserve">India @ National Research Centre on Equines @ Sirsa Road, Hisar, Haryana</t>
  </si>
  <si>
    <t xml:space="preserve">Hippopotamus</t>
  </si>
  <si>
    <t xml:space="preserve">India @ Project Directorate on foot-and-mouth disease (PDFMD) of ICAR @ Mukteswar</t>
  </si>
  <si>
    <t xml:space="preserve">Hobby</t>
  </si>
  <si>
    <t xml:space="preserve">India @ Regional Medical Research Centre @ Dibrugarh</t>
  </si>
  <si>
    <t xml:space="preserve">Hooded crane:Grus monacha(Gruidae)</t>
  </si>
  <si>
    <t xml:space="preserve">Indonesia @ Balitvet Medan</t>
  </si>
  <si>
    <t xml:space="preserve">Hooded Crow (Corvus cornix)</t>
  </si>
  <si>
    <t xml:space="preserve">Indonesia @ Directorate of Livestock Animal Health Service @ Jakarta</t>
  </si>
  <si>
    <t xml:space="preserve">Horse</t>
  </si>
  <si>
    <t xml:space="preserve">Indonesia @ Disease Investigation Center, Region II, Bukittinggi</t>
  </si>
  <si>
    <t xml:space="preserve">Hottentot Teal</t>
  </si>
  <si>
    <t xml:space="preserve">Indonesia @ Disease Investigation Centre (Region VI) @ Denpasar</t>
  </si>
  <si>
    <t xml:space="preserve">House Crow (Corvus splendens)</t>
  </si>
  <si>
    <t xml:space="preserve">Indonesia @ Disease Investigation Centre Region VII</t>
  </si>
  <si>
    <t xml:space="preserve">House sparrow</t>
  </si>
  <si>
    <t xml:space="preserve">Indonesia @ Disease Investigation Centre Region ll</t>
  </si>
  <si>
    <t xml:space="preserve">Humboldt penguin (Spheniscus humboldti)</t>
  </si>
  <si>
    <t xml:space="preserve">Indonesia @ Disease Investigation centre (Region VII) @ Muflihanah</t>
  </si>
  <si>
    <t xml:space="preserve">Ibex</t>
  </si>
  <si>
    <t xml:space="preserve">Indonesia @ Indonesian Research Center for Veterinary Sciences (National laboratory)</t>
  </si>
  <si>
    <t xml:space="preserve">Impala</t>
  </si>
  <si>
    <t xml:space="preserve">Indonesia @ National Institute of Health Research and Development (NIHRD) @ Jakarta</t>
  </si>
  <si>
    <t xml:space="preserve">Imperial shag</t>
  </si>
  <si>
    <t xml:space="preserve">Indonesia @ Research Institute for Veterinary science, Bongor @ Bongor</t>
  </si>
  <si>
    <t xml:space="preserve">Indian Peafowl (Pavo cristatus)</t>
  </si>
  <si>
    <t xml:space="preserve">Iran (Islamic Republic of) @ Bushehr Shrimp Central Laboratory</t>
  </si>
  <si>
    <t xml:space="preserve">Jackal</t>
  </si>
  <si>
    <t xml:space="preserve">Iran (Islamic Republic of) @ National Laboratory (Iran)</t>
  </si>
  <si>
    <t xml:space="preserve">Jackal buzzard (Buteo rufofuscus)</t>
  </si>
  <si>
    <t xml:space="preserve">Iran (Islamic Republic of) @ RAZI Vaccine &amp; Serum Research Institute @ Tehran</t>
  </si>
  <si>
    <t xml:space="preserve">Jackass Penguin Spheniscus demersus</t>
  </si>
  <si>
    <t xml:space="preserve">Iraq @ Central Veterinary and Research Laboratory, Bagdad, Iraq</t>
  </si>
  <si>
    <t xml:space="preserve">Jackdaw</t>
  </si>
  <si>
    <t xml:space="preserve">Iraq @ Central Veterinary and Research Laboratory, Baghdad @ Baghdad</t>
  </si>
  <si>
    <t xml:space="preserve">Jaguar (Panthera onca)</t>
  </si>
  <si>
    <t xml:space="preserve">Ireland @ Central Veterinary Research Laboratory</t>
  </si>
  <si>
    <t xml:space="preserve">Japanese sparrowhawk</t>
  </si>
  <si>
    <t xml:space="preserve">Ireland @ Central Veterinary Research Laboratory, Backweston, Kildare @ Kildare</t>
  </si>
  <si>
    <t xml:space="preserve">Japanese White-eye</t>
  </si>
  <si>
    <t xml:space="preserve">Ireland @ Irish Equine Centre @ Johnstown</t>
  </si>
  <si>
    <t xml:space="preserve">Kashmiri Markhor</t>
  </si>
  <si>
    <t xml:space="preserve">Ireland @ Veterinary Sciences Division, Stormont, Northern Ireland</t>
  </si>
  <si>
    <t xml:space="preserve">Kelp gull</t>
  </si>
  <si>
    <t xml:space="preserve">Israel @ Beer-Tuvia regional poultry disease laboratory</t>
  </si>
  <si>
    <t xml:space="preserve">Kentish plover</t>
  </si>
  <si>
    <t xml:space="preserve">Israel @ Kimron Veterinary Institute (KVI) of the Israeli Veterinary Services and Animal Health (IVSAH) @ Beit Degan</t>
  </si>
  <si>
    <t xml:space="preserve">King cormorant</t>
  </si>
  <si>
    <t xml:space="preserve">Israel @ Kimron Veterinary Institute @ Beit Dagan</t>
  </si>
  <si>
    <t xml:space="preserve">Kite</t>
  </si>
  <si>
    <t xml:space="preserve">Israel @ Northern Poultry Diseases Laboratory (Local Laboratory)</t>
  </si>
  <si>
    <t xml:space="preserve">Kittlitz's Plover</t>
  </si>
  <si>
    <t xml:space="preserve">Israel @ Southern Poultry Diseases Laboratory</t>
  </si>
  <si>
    <t xml:space="preserve">Knob-billed Duck</t>
  </si>
  <si>
    <t xml:space="preserve">Israel @ Tsfat Regional Poultry Disease Laboratory</t>
  </si>
  <si>
    <t xml:space="preserve">Kudu</t>
  </si>
  <si>
    <t xml:space="preserve">Italy @ Istituto Superiore di Sanità (ISS), Department of Food Safety and Veterinary Public Health @ Rome</t>
  </si>
  <si>
    <t xml:space="preserve">Large-billed Crow (Corvus macrorhynchos)</t>
  </si>
  <si>
    <t xml:space="preserve">Italy @ Istituto Zooprofilattico Sperimentale (IZS) del Mezzogiorno</t>
  </si>
  <si>
    <t xml:space="preserve">Laridae (unidentified):Laridae (incognita)(Laridae)</t>
  </si>
  <si>
    <t xml:space="preserve">Italy @ Istituto Zooprofilattico Sperimentale (IZS) dell' Umbria e delle Marche</t>
  </si>
  <si>
    <t xml:space="preserve">Laughing dove</t>
  </si>
  <si>
    <t xml:space="preserve">Italy @ Istituto Zooprofilattico Sperimentale (IZS) della Puglia</t>
  </si>
  <si>
    <t xml:space="preserve">Least Sandpiper</t>
  </si>
  <si>
    <t xml:space="preserve">Italy @ Istituto Zooprofilattico Sperimentale (IZS) della Sicilia @ Palermo</t>
  </si>
  <si>
    <t xml:space="preserve">Leopard</t>
  </si>
  <si>
    <t xml:space="preserve">Italy @ Istituto Zooprofilattico Sperimentale (IZS) di Teramo @ Teramo</t>
  </si>
  <si>
    <t xml:space="preserve">Leptoptilos crumeniferus</t>
  </si>
  <si>
    <t xml:space="preserve">Italy @ Istituto Zooprofilattico Sperimentale dell''Abruzzo e del Molise ''G. Caporale'' (IZSAM) @ Teramo</t>
  </si>
  <si>
    <t xml:space="preserve">Lesser Black-backed Gull:Larus fuscus(Laridae)</t>
  </si>
  <si>
    <t xml:space="preserve">Italy @ Istituto Zooprofilattico Sperimentale della Lombardia e dell'Emilia-Romagna "Bruno Ubertini" (IZSLER) @ Brescia</t>
  </si>
  <si>
    <t xml:space="preserve">Lesser crested tern</t>
  </si>
  <si>
    <t xml:space="preserve">Italy @ Istituto Zooprofilattico Sperimentale delle Venezie (IZSVe) @ Padova</t>
  </si>
  <si>
    <t xml:space="preserve">Lesser frigate bird</t>
  </si>
  <si>
    <t xml:space="preserve">Italy @ Laboratorio di Parassitologia @ Roma</t>
  </si>
  <si>
    <t xml:space="preserve">Lesser Snow Goose</t>
  </si>
  <si>
    <t xml:space="preserve">Italy @ National Centre for Exotic Diseases (CESME), Teramo @ Teramo</t>
  </si>
  <si>
    <t xml:space="preserve">Lesser Whistling Duck</t>
  </si>
  <si>
    <t xml:space="preserve">Italy @ National Reference Laboratory for Salmonella @ Padova</t>
  </si>
  <si>
    <t xml:space="preserve">Lion (Panthera leo)</t>
  </si>
  <si>
    <t xml:space="preserve">Italy @ Reference Laboratory for Newcastle Disease and Avian Influenza @ Padova</t>
  </si>
  <si>
    <t xml:space="preserve">Little Bittern</t>
  </si>
  <si>
    <t xml:space="preserve">Japan @ Akita Chuo Livestock Hygiene Service Center, Japan</t>
  </si>
  <si>
    <t xml:space="preserve">Little cormorant</t>
  </si>
  <si>
    <t xml:space="preserve">Japan @ Avian Zoonosis Research Centre (Tottori University), Japan</t>
  </si>
  <si>
    <t xml:space="preserve">Little egret</t>
  </si>
  <si>
    <t xml:space="preserve">Japan @ Chikugo Livestock Hygiene Service Center</t>
  </si>
  <si>
    <t xml:space="preserve">Little Grebe</t>
  </si>
  <si>
    <t xml:space="preserve">Japan @ Department of Exotic Diseases @ Tokyo</t>
  </si>
  <si>
    <t xml:space="preserve">Little Grebe:Tachybaptus ruficollis(Podicipedidae)</t>
  </si>
  <si>
    <t xml:space="preserve">Japan @ Ehime Prefectural Chuuyo Livestock Hygiene Service Center</t>
  </si>
  <si>
    <t xml:space="preserve">Little Ringed Plover</t>
  </si>
  <si>
    <t xml:space="preserve">Japan @ Epizootic Research Center, Equine Research Institute of Japan Racing Association (Private Laboratory) @ Shimotsuke-shi</t>
  </si>
  <si>
    <t xml:space="preserve">Little stint</t>
  </si>
  <si>
    <t xml:space="preserve">Japan @ Fisheries Research Agency @ Yokohama-shi</t>
  </si>
  <si>
    <t xml:space="preserve">Lobster</t>
  </si>
  <si>
    <t xml:space="preserve">Japan @ Hiroshima Livestock Hygiene Center @ Hiroshima</t>
  </si>
  <si>
    <t xml:space="preserve">Long-toed Lapwing</t>
  </si>
  <si>
    <t xml:space="preserve">Japan @ Hokkaido University, Sapporo, Japan</t>
  </si>
  <si>
    <t xml:space="preserve">loro</t>
  </si>
  <si>
    <t xml:space="preserve">Japan @ Kushiro Livestock Hygiene Center (Local laboratory) @ Kushiro</t>
  </si>
  <si>
    <t xml:space="preserve">Macrobrachium rosenbergii</t>
  </si>
  <si>
    <t xml:space="preserve">Japan @ Laboratory of Biotechnology and Microbiology @ Hakodate</t>
  </si>
  <si>
    <t xml:space="preserve">Madagascar squacco heron</t>
  </si>
  <si>
    <t xml:space="preserve">Japan @ Laboratory of Environmental Zoology, Department of Biosphere and Environmental Sciences @ Ebetsu</t>
  </si>
  <si>
    <t xml:space="preserve">Magellanic Penguin</t>
  </si>
  <si>
    <t xml:space="preserve">Japan @ Laboratory of Fish Pathology @ Hiroshima</t>
  </si>
  <si>
    <t xml:space="preserve">Magpie</t>
  </si>
  <si>
    <t xml:space="preserve">Japan @ Laboratory of Microbiology, Graduate School of Veterinary Medicine, Hokkaido University @ Sapporo</t>
  </si>
  <si>
    <t xml:space="preserve">Mainland serow (Capricornis sumatraensis)</t>
  </si>
  <si>
    <t xml:space="preserve">Japan @ Livestock Hygiene Center in Kyoto @ Kyoto</t>
  </si>
  <si>
    <t xml:space="preserve">Mallard:Anas platyrhynchos(Anatidae)</t>
  </si>
  <si>
    <t xml:space="preserve">Japan @ Livestock Hygiene Centre in Kagoshima @ Kagoshima</t>
  </si>
  <si>
    <t xml:space="preserve">Mandarin Duck:Aix galericulata(Anatidae)</t>
  </si>
  <si>
    <t xml:space="preserve">Japan @ Livestock Hygiene Centre in Miyazaki @ Miyazaki</t>
  </si>
  <si>
    <t xml:space="preserve">Maned Duck:Chenonetta jubata(Anatidae)</t>
  </si>
  <si>
    <t xml:space="preserve">Japan @ Livestock Hygiene Service Center in Aichi Prefecture</t>
  </si>
  <si>
    <t xml:space="preserve">Marabou Stork</t>
  </si>
  <si>
    <t xml:space="preserve">Japan @ Livestock Hygiene Service Center in Toyama (Local Laboratory) @ Toyama</t>
  </si>
  <si>
    <t xml:space="preserve">Marbled teal</t>
  </si>
  <si>
    <t xml:space="preserve">Japan @ Livestock Hygiene Service Centre</t>
  </si>
  <si>
    <t xml:space="preserve">Marsh Harrier</t>
  </si>
  <si>
    <t xml:space="preserve">Japan @ Livestock Hygiene Service Centre, Osaka Prefecture @ Osaka</t>
  </si>
  <si>
    <t xml:space="preserve">Mascarene martin</t>
  </si>
  <si>
    <t xml:space="preserve">Japan @ Livestock Hygiene Service Centre, Yamagata prefecture (Local laboratory)</t>
  </si>
  <si>
    <t xml:space="preserve">Masked booby</t>
  </si>
  <si>
    <t xml:space="preserve">Japan @ Livestock Hygiene Service Centres, Miyagi Prefecture</t>
  </si>
  <si>
    <t xml:space="preserve">Mediterranean Gull</t>
  </si>
  <si>
    <t xml:space="preserve">Japan @ Miho Training Center</t>
  </si>
  <si>
    <t xml:space="preserve">Mew gull (Larus canus)</t>
  </si>
  <si>
    <t xml:space="preserve">Japan @ National Agricultural Research Organization, Prion Diseases Research Unit @ Tsukuba</t>
  </si>
  <si>
    <t xml:space="preserve">Milk fish/Chonos chonos</t>
  </si>
  <si>
    <t xml:space="preserve">Japan @ National Research Center for Protozoan Diseases @ Obihiro</t>
  </si>
  <si>
    <t xml:space="preserve">Mink</t>
  </si>
  <si>
    <t xml:space="preserve">Japan @ Obihiro University of Agriculture and Veterinary Medicine @ Hokkaido</t>
  </si>
  <si>
    <t xml:space="preserve">Mongolian saiga (Saiga tatarica mongolica)</t>
  </si>
  <si>
    <t xml:space="preserve">Japan @ Ritto Training Center</t>
  </si>
  <si>
    <t xml:space="preserve">Monkey</t>
  </si>
  <si>
    <t xml:space="preserve">Japan @ Ryochiku Livestock Hygiene Service Center in Hokkaido Prefecture</t>
  </si>
  <si>
    <t xml:space="preserve">Moose (Alces alces)</t>
  </si>
  <si>
    <t xml:space="preserve">Japan @ Shimane Livestock Hygiene Centre</t>
  </si>
  <si>
    <t xml:space="preserve">Motacillidae (unidentified):Motacillidae (incognita)(Motacillidae)</t>
  </si>
  <si>
    <t xml:space="preserve">Japan @ Viral Disease Section @ Tsukuba</t>
  </si>
  <si>
    <t xml:space="preserve">Mouflon (Ovis orientalis)</t>
  </si>
  <si>
    <t xml:space="preserve">Jordan @ Animal Wealth Laboratory, Jordan</t>
  </si>
  <si>
    <t xml:space="preserve">Mountain hare (Lepus timidus)</t>
  </si>
  <si>
    <t xml:space="preserve">Kazakhstan @ Biological Security Institute</t>
  </si>
  <si>
    <t xml:space="preserve">Mountain Hawk-Eagle</t>
  </si>
  <si>
    <t xml:space="preserve">Kazakhstan @ Institute for Microbiology and Virology, Almaty @ Almaty</t>
  </si>
  <si>
    <t xml:space="preserve">Mouse coloured sunbird</t>
  </si>
  <si>
    <t xml:space="preserve">Kazakhstan @ National Centre of Veterinary Diagnostic and Methodology @ Astana</t>
  </si>
  <si>
    <t xml:space="preserve">Mud crabs/Scylla ceratta</t>
  </si>
  <si>
    <t xml:space="preserve">Kazakhstan @ National Reference Veterinary Laboratory (National Laboratory)</t>
  </si>
  <si>
    <t xml:space="preserve">Mule deer  (Odocoileus hemionus)</t>
  </si>
  <si>
    <t xml:space="preserve">Kazakhstan @ Pavlodar region branch of the Kazakhstan National Veterinary Laboratory</t>
  </si>
  <si>
    <t xml:space="preserve">Mule (Equus mulus)</t>
  </si>
  <si>
    <t xml:space="preserve">Kazakhstan @ Scientific Research Institute for Agriculture, Otar @ Otar</t>
  </si>
  <si>
    <t xml:space="preserve">Muscovy Duck:Cairina moschata(Anatidae)</t>
  </si>
  <si>
    <t xml:space="preserve">Kenya @ Central Veterinary Laboratory, Kabete @ Kabete</t>
  </si>
  <si>
    <t xml:space="preserve">Mute Swan:Cygnus olor(Anatidae)</t>
  </si>
  <si>
    <t xml:space="preserve">Kenya @ Central Veterinary Laboratory, Nairobi, Kenya</t>
  </si>
  <si>
    <t xml:space="preserve">Mynahs</t>
  </si>
  <si>
    <t xml:space="preserve">Kenya @ Embakasi FMD laboratory</t>
  </si>
  <si>
    <t xml:space="preserve">Namaqua Dove</t>
  </si>
  <si>
    <t xml:space="preserve">Kenya @ International Centre of Insect Physiology and Ecology (icipe) @ Nairobi</t>
  </si>
  <si>
    <t xml:space="preserve">Northern Gannet:Morus bassanus(Sulidae)</t>
  </si>
  <si>
    <t xml:space="preserve">Kenya @ International Livestock Research Institute - ILRI Kenya - Headquarters</t>
  </si>
  <si>
    <t xml:space="preserve">Northern Lapwing</t>
  </si>
  <si>
    <t xml:space="preserve">Kenya @ National Veterinary Research Centre - Kenya Agricultural Research Institute,  NVRC-KARI</t>
  </si>
  <si>
    <t xml:space="preserve">Northern pintail (Anas acuta)</t>
  </si>
  <si>
    <t xml:space="preserve">Kuwait @ Central Veterinary Laboratory for Diagnosis and Research, PAAF (Public Authority of Agriculture and Fish Resources)</t>
  </si>
  <si>
    <t xml:space="preserve">Northern shoveler</t>
  </si>
  <si>
    <t xml:space="preserve">Kyrgyzstan @ Noken Zonal Veterinary Laboratory (Local laboratory)</t>
  </si>
  <si>
    <t xml:space="preserve">Numididae (Unidentified)</t>
  </si>
  <si>
    <t xml:space="preserve">Kyrgyzstan @ RCVD</t>
  </si>
  <si>
    <t xml:space="preserve">Nyala (Tragelaphus angasii)</t>
  </si>
  <si>
    <t xml:space="preserve">Kyrgyzstan @ Veterinary Diagnosis Centre</t>
  </si>
  <si>
    <t xml:space="preserve">Olrog's Gull</t>
  </si>
  <si>
    <t xml:space="preserve">Kyrgyzstan @ Veterinary Diagnostic Centre</t>
  </si>
  <si>
    <t xml:space="preserve">Open-billed storks</t>
  </si>
  <si>
    <t xml:space="preserve">Lao People's Democratic Republic @ National Animal Health Center (NACH) @ Vientiane</t>
  </si>
  <si>
    <t xml:space="preserve">Orange Bishop</t>
  </si>
  <si>
    <t xml:space="preserve">Lao People's Democratic Republic @ National Animal Health Center @ Vientiane</t>
  </si>
  <si>
    <t xml:space="preserve">Orange-cheeked Waxbill</t>
  </si>
  <si>
    <t xml:space="preserve">Lao People's Democratic Republic @ National Animal Health Center Laboratory</t>
  </si>
  <si>
    <t xml:space="preserve">Orange winged pytilia</t>
  </si>
  <si>
    <t xml:space="preserve">Lao People's Democratic Republic @ National Avian Influenza Diagnostic Laboratory @ Vientiane</t>
  </si>
  <si>
    <t xml:space="preserve">Orangutan</t>
  </si>
  <si>
    <t xml:space="preserve">Lao People's Democratic Republic @ National Centre for Laboratory and Epidemiology (NCLE) @ Vientiane</t>
  </si>
  <si>
    <t xml:space="preserve">Oriental Magpie Robin</t>
  </si>
  <si>
    <t xml:space="preserve">Lao People's Democratic Republic @ National Veterinary Service Center</t>
  </si>
  <si>
    <t xml:space="preserve">Osprey</t>
  </si>
  <si>
    <t xml:space="preserve">Latvia @ National Reference Laboratory (National laboratory)</t>
  </si>
  <si>
    <t xml:space="preserve">Ostrich</t>
  </si>
  <si>
    <t xml:space="preserve">Lebanon @ Lebanese Agricultural Research Institute (LARI) @ Fanar</t>
  </si>
  <si>
    <t xml:space="preserve">Otter (Lutrinae)</t>
  </si>
  <si>
    <t xml:space="preserve">Lebanon @ Veterinary Laboratory, Riyadh @ Riyadh</t>
  </si>
  <si>
    <t xml:space="preserve">Owl</t>
  </si>
  <si>
    <t xml:space="preserve">Liberia @ Fendell Central Vet Laboratory @ Monrovia</t>
  </si>
  <si>
    <t xml:space="preserve">Oyster catcher</t>
  </si>
  <si>
    <t xml:space="preserve">Lithuania @ National Food and Veterinary Risk Assessment Institute (National Laboratory)</t>
  </si>
  <si>
    <t xml:space="preserve">Oysters</t>
  </si>
  <si>
    <t xml:space="preserve">Luxembourg @ Veterinary Medicine Laboratory of Luxembourg</t>
  </si>
  <si>
    <t xml:space="preserve">Pale-breasted illadopsis</t>
  </si>
  <si>
    <t xml:space="preserve">Madagascar @ Direction de la Santé Animale et du Phytosanitaire @ Antananarivo</t>
  </si>
  <si>
    <t xml:space="preserve">Pangolin  (Manis)</t>
  </si>
  <si>
    <t xml:space="preserve">Madagascar @ Institut Pasteur de Madagascar, Tananarive, Madagascar</t>
  </si>
  <si>
    <t xml:space="preserve">Parrot</t>
  </si>
  <si>
    <t xml:space="preserve">Madagascar @ Pasteur Institute (National laboratory)</t>
  </si>
  <si>
    <t xml:space="preserve">Partridge</t>
  </si>
  <si>
    <t xml:space="preserve">Malawi @ CentralVeterinary Laboratory @ Lilongwe</t>
  </si>
  <si>
    <t xml:space="preserve">Passeridae (unidentified):Passeridae (incognita)(Passeridae)</t>
  </si>
  <si>
    <t xml:space="preserve">Malaysia @ Department of Wildlife and National Parks @ Peninsular</t>
  </si>
  <si>
    <t xml:space="preserve">Patagonian mara (Dolichotis patagonum)</t>
  </si>
  <si>
    <t xml:space="preserve">Malaysia @ Regional Veterinary Laboratory, Petaling Jaya @ Petaling Jaya</t>
  </si>
  <si>
    <t xml:space="preserve">Pavo real</t>
  </si>
  <si>
    <t xml:space="preserve">Malaysia @ Veterinary Research Institute, Ipoh @ Ipoh</t>
  </si>
  <si>
    <t xml:space="preserve">Peacock</t>
  </si>
  <si>
    <t xml:space="preserve">Malaysia @ Veterinary Research Institute-VRI-Malaysia @ Ipoh</t>
  </si>
  <si>
    <t xml:space="preserve">Pectoral sandpiper</t>
  </si>
  <si>
    <t xml:space="preserve">Mali @ Central Veterinary Laboratory, Bamako @ Bamako</t>
  </si>
  <si>
    <t xml:space="preserve">Pelecanidae (unidentified):Pelecanidae (incognita)(Pelecanidae)</t>
  </si>
  <si>
    <t xml:space="preserve">Mali @ Laboratoire Central Vétérinaire du Mali @ Bamako</t>
  </si>
  <si>
    <t xml:space="preserve">Pemba flying fox</t>
  </si>
  <si>
    <t xml:space="preserve">Mali @ Laboratoire de Pathologie</t>
  </si>
  <si>
    <t xml:space="preserve">Pemba green pigeon</t>
  </si>
  <si>
    <t xml:space="preserve">Mauritania @ Centre National d’Elevage et de Recherche Vétérinaires @ Nouakchott</t>
  </si>
  <si>
    <t xml:space="preserve">Pemba scops owl</t>
  </si>
  <si>
    <t xml:space="preserve">Mauritania @ Laboratoire de Recherche de Santé Publique @ Nouakchott</t>
  </si>
  <si>
    <t xml:space="preserve">Pemba violet breasted sunbird</t>
  </si>
  <si>
    <t xml:space="preserve">Mexico @ Biotechnology Institute, UNAM (National University of Mexico) (Private Laboratory)</t>
  </si>
  <si>
    <t xml:space="preserve">Pemba white eye</t>
  </si>
  <si>
    <t xml:space="preserve">Mexico @ Centro Nacional de Investigaciones Disciplinarias en Parasitología Veterinaria, CENID-PAVET</t>
  </si>
  <si>
    <t xml:space="preserve">Penguin</t>
  </si>
  <si>
    <t xml:space="preserve">Mexico @ Centro Nacional de Servicios de Constatación en Salud Animal (CENAPA) @ Jiutepec</t>
  </si>
  <si>
    <t xml:space="preserve">Peregrin falcon:Falco peregrinus(Falconidae)</t>
  </si>
  <si>
    <t xml:space="preserve">Mexico @ High-Security Laboratory of the Mexico-United States FMD and Other Exotic Animal Diseases Commission</t>
  </si>
  <si>
    <t xml:space="preserve">Phalaropes</t>
  </si>
  <si>
    <t xml:space="preserve">Mexico @ Mexico-United States Commission for the Prevention of Foot and Mouth Disease and Other Exotic Diseases of Animals (CPA)</t>
  </si>
  <si>
    <t xml:space="preserve">Phasianidae (unidentified):Phasianidae (incognita)(Phasianidae)</t>
  </si>
  <si>
    <t xml:space="preserve">Mexico @ National Animal Health Diagnostic Services Center (CENASA)</t>
  </si>
  <si>
    <t xml:space="preserve">Phasianus colchicus (Common pheasant) - Phasanidae</t>
  </si>
  <si>
    <t xml:space="preserve">Mongolia @ Institute of Veterinary Medicine</t>
  </si>
  <si>
    <t xml:space="preserve">Pheasant-tailed Jacana</t>
  </si>
  <si>
    <t xml:space="preserve">Mongolia @ State Central Veterinary Laboratory</t>
  </si>
  <si>
    <t xml:space="preserve">Philippine colugo (Cynocephalus volans)</t>
  </si>
  <si>
    <t xml:space="preserve">Morocco @ Biopharma (National Laboratory)</t>
  </si>
  <si>
    <t xml:space="preserve">Phoenicopteridae (unidentified):Phoenicopteridae (incognita)(Phoenicopteridae)</t>
  </si>
  <si>
    <t xml:space="preserve">Morocco @ Département de Pathologie et Santé Publique Vétérinaire, Unité de Parasitologie et Maladies Parasitaires @ Rabat</t>
  </si>
  <si>
    <t xml:space="preserve">Pied avocet</t>
  </si>
  <si>
    <t xml:space="preserve">Morocco @ Laboratoire Régional d`Analyses et de Recherches Vétérinaire de Casablanca @ Casablance</t>
  </si>
  <si>
    <t xml:space="preserve">Pied crow (Corvus albus)</t>
  </si>
  <si>
    <t xml:space="preserve">Morocco @ Laboratoire Régional d’Analyses et de Recherches Vétérinaires d’Agadir @ Agadir</t>
  </si>
  <si>
    <t xml:space="preserve">Pied Kingfisher</t>
  </si>
  <si>
    <t xml:space="preserve">Mozambique @ Central Veterinary Laboratory (CVL) @ Maputo</t>
  </si>
  <si>
    <t xml:space="preserve">Pied mannikin</t>
  </si>
  <si>
    <t xml:space="preserve">Myanmar @ Foot and Mouth Disease Laboratory, Insein @ Yangon</t>
  </si>
  <si>
    <t xml:space="preserve">Pigeon</t>
  </si>
  <si>
    <t xml:space="preserve">Myanmar @ Keng Tung Diagnostic Laboratory @ Keng Tung</t>
  </si>
  <si>
    <t xml:space="preserve">Plain-backed Sparrow</t>
  </si>
  <si>
    <t xml:space="preserve">Myanmar @ Kyaing Tong Diagnostic Laboratory</t>
  </si>
  <si>
    <t xml:space="preserve">Plumed Whistling-Duck:Dendrocygna eytoni(Anatidae)</t>
  </si>
  <si>
    <t xml:space="preserve">Myanmar @ Regional Veterinary Laboratory (RVL) @ Kota Bahru</t>
  </si>
  <si>
    <t xml:space="preserve">Pochard</t>
  </si>
  <si>
    <t xml:space="preserve">Myanmar @ Veterinary Diagnostic Laboratory, Mandalay @ Mandalay</t>
  </si>
  <si>
    <t xml:space="preserve">Polar fox</t>
  </si>
  <si>
    <t xml:space="preserve">Myanmar @ Veterinary Diagnostic Laboratory, Yangon @ Yangon</t>
  </si>
  <si>
    <t xml:space="preserve">Polecat</t>
  </si>
  <si>
    <t xml:space="preserve">Myanmar @ Yangon Veterinary Diagnostic Laboratory @ Yangon</t>
  </si>
  <si>
    <t xml:space="preserve">Pomarine skua (or pomarine jaeger)</t>
  </si>
  <si>
    <t xml:space="preserve">Namibia @ Central Veterinary Laboratory, Windhoek @ Windhoek</t>
  </si>
  <si>
    <t xml:space="preserve">Pony</t>
  </si>
  <si>
    <t xml:space="preserve">Nepal @ Central Veterinary Laboratory @ Kathmandu</t>
  </si>
  <si>
    <t xml:space="preserve">Prawn</t>
  </si>
  <si>
    <t xml:space="preserve">Nepal @ Central Veterinary Laboratory, Kathmandu @ Kathmandu</t>
  </si>
  <si>
    <t xml:space="preserve">Purple gallinule</t>
  </si>
  <si>
    <t xml:space="preserve">Nepal @ Regional Laboratory, Dhangadhi @ Dhangadhi</t>
  </si>
  <si>
    <t xml:space="preserve">Purple Swamphen</t>
  </si>
  <si>
    <t xml:space="preserve">Netherlands @ Central Veterinary Institute (CVI) of Wageningen UR @ Lelystad</t>
  </si>
  <si>
    <t xml:space="preserve">Pygmy goose</t>
  </si>
  <si>
    <t xml:space="preserve">Netherlands @ Division Infectious Diseases - Animal Sciences Group of Wageningen University and Research Centre @ Lelystad</t>
  </si>
  <si>
    <t xml:space="preserve">Rabbits</t>
  </si>
  <si>
    <t xml:space="preserve">Netherlands @ N.H. Swellengrebel Laboratory of Tropical Hygiene @ Amsterdam</t>
  </si>
  <si>
    <t xml:space="preserve">Razorbill (Alca torda):Alcidae-Charadriiformes</t>
  </si>
  <si>
    <t xml:space="preserve">Netherlands @ Utrecht Centre for Tick-borne Diseases, Faculty of Veterinary Medicine, Utrecht University @ Utrecht</t>
  </si>
  <si>
    <t xml:space="preserve">Red-and-green macaw (Ara chloropterus)</t>
  </si>
  <si>
    <t xml:space="preserve">Netherlands @ Wageningen Agricultural  University</t>
  </si>
  <si>
    <t xml:space="preserve">Red Avadavat</t>
  </si>
  <si>
    <t xml:space="preserve">Netherlands @ Wetlands International Headquarters @ Wageningen</t>
  </si>
  <si>
    <t xml:space="preserve">Red-billed Firefinch</t>
  </si>
  <si>
    <t xml:space="preserve">New Caledonia @ Laboratoire de la Nouvelle-Calédonie (LNC) (Local Laboratory)</t>
  </si>
  <si>
    <t xml:space="preserve">Red-billed Quelea</t>
  </si>
  <si>
    <t xml:space="preserve">New Caledonia @ Laboratory of New Caledonia (National Laboratory)</t>
  </si>
  <si>
    <t xml:space="preserve">Red-billed Starling</t>
  </si>
  <si>
    <t xml:space="preserve">New Zealand @ Institute of Veterinary, Animal and Biomedical Sciences (IVABS)</t>
  </si>
  <si>
    <t xml:space="preserve">Red-Billed Teal</t>
  </si>
  <si>
    <t xml:space="preserve">Nicaragua @ Central DGPSA Laboratory</t>
  </si>
  <si>
    <t xml:space="preserve">Red breasted goose</t>
  </si>
  <si>
    <t xml:space="preserve">Nicaragua @ Central Veterinary Diagnostic Laboratory, Nicaragua</t>
  </si>
  <si>
    <t xml:space="preserve">Red-cheeked Cordon-bleu</t>
  </si>
  <si>
    <t xml:space="preserve">Nicaragua @ National Veterinary Diagnostic Laboratory, MAG FOR, (National laboratory)</t>
  </si>
  <si>
    <t xml:space="preserve">Red chested crake</t>
  </si>
  <si>
    <t xml:space="preserve">Niger @ LABOCEL @ Niamey</t>
  </si>
  <si>
    <t xml:space="preserve">Red colobus monkey</t>
  </si>
  <si>
    <t xml:space="preserve">Nigeria @ National Veterinary Research Institute - Vom @ Vom</t>
  </si>
  <si>
    <t xml:space="preserve">Red crested pochard (Netta rufina)</t>
  </si>
  <si>
    <t xml:space="preserve">Nigeria @ Veterinary Teaching Hospital @ Ibadan</t>
  </si>
  <si>
    <t xml:space="preserve">Red-crowned crane (Grus japonensis)</t>
  </si>
  <si>
    <t xml:space="preserve">North Macedonia @ Faculty of Veterinary Medicine, Veterinary Instutute, Skopje @ Skopje</t>
  </si>
  <si>
    <t xml:space="preserve">Red Fox</t>
  </si>
  <si>
    <t xml:space="preserve">Norway @ National Veterinary Institute @ Oslo</t>
  </si>
  <si>
    <t xml:space="preserve">Red junglefowl</t>
  </si>
  <si>
    <t xml:space="preserve">Norway @ Norwegian Veterinary Institute</t>
  </si>
  <si>
    <t xml:space="preserve">Red-knobbed Coot</t>
  </si>
  <si>
    <t xml:space="preserve">Norway @ Veterinary Institute, Oslo @ Oslo</t>
  </si>
  <si>
    <t xml:space="preserve">Red Knot</t>
  </si>
  <si>
    <t xml:space="preserve">Pakistan @ National Animal Science Institute @ Islamabad</t>
  </si>
  <si>
    <t xml:space="preserve">Red shoveler</t>
  </si>
  <si>
    <t xml:space="preserve">Pakistan @ National Animal Sciences Institute, National Agricultural Research Centre, Islamabad @ Islamabad</t>
  </si>
  <si>
    <t xml:space="preserve">Red-tailed hawk</t>
  </si>
  <si>
    <t xml:space="preserve">Pakistan @ National Veterinary Laboratory</t>
  </si>
  <si>
    <t xml:space="preserve">Red turtle dove</t>
  </si>
  <si>
    <t xml:space="preserve">Palestine @ Central Veterinary Laboratory, Ramallah</t>
  </si>
  <si>
    <t xml:space="preserve">Red-wattled lapwing</t>
  </si>
  <si>
    <t xml:space="preserve">Palestine @ Nablus National Laboratory (National laboratory), West Bank and Gaza Strip</t>
  </si>
  <si>
    <t xml:space="preserve">Reed Bunting</t>
  </si>
  <si>
    <t xml:space="preserve">Panama @ Flies Identification Laboratory</t>
  </si>
  <si>
    <t xml:space="preserve">Reed Cormorant</t>
  </si>
  <si>
    <t xml:space="preserve">Panama @ Gorgas Memorial Institute for Health Studies (Regional Reference Laboratory) @ Panama City</t>
  </si>
  <si>
    <t xml:space="preserve">Ring-billed gull (Larus delawarensis)</t>
  </si>
  <si>
    <t xml:space="preserve">Panama @ Panama–US Commission for the Eradication and Prevention of NWS (COPEG) @ Panama</t>
  </si>
  <si>
    <t xml:space="preserve">Ring Necked Duck</t>
  </si>
  <si>
    <t xml:space="preserve">Peru @ Animal Health Diagnostic Centre</t>
  </si>
  <si>
    <t xml:space="preserve">Rock dove</t>
  </si>
  <si>
    <t xml:space="preserve">Peru @ CERPER (Certification Body of Peru)</t>
  </si>
  <si>
    <t xml:space="preserve">Rodents</t>
  </si>
  <si>
    <t xml:space="preserve">Peru @ Laboratorio de Patología Aviar de la Universidad Nacional Mayor de San Marcos (UNMSM) (Private Laboratory)</t>
  </si>
  <si>
    <t xml:space="preserve">Roe deer</t>
  </si>
  <si>
    <t xml:space="preserve">Peru @ SENESSA (National Laboratory)</t>
  </si>
  <si>
    <t xml:space="preserve">Rook</t>
  </si>
  <si>
    <t xml:space="preserve">Philippines @ Philippine Animal Health Center @ Quezon</t>
  </si>
  <si>
    <t xml:space="preserve">Rose Pelican (Pelecanus onocrotalus)</t>
  </si>
  <si>
    <t xml:space="preserve">Philippines @ Research Institute for Tropical Medicine (RITM) @ Manila</t>
  </si>
  <si>
    <t xml:space="preserve">Ross's goose (Anser rossii)</t>
  </si>
  <si>
    <t xml:space="preserve">Portugal @ Agriculture and Veterinary National Research Institute (INIAV) @ Lisbon</t>
  </si>
  <si>
    <t xml:space="preserve">Rosy-billed Pochard</t>
  </si>
  <si>
    <t xml:space="preserve">Portugal @ Laboratoire national de recherche vétérinaire (LNIV) @ Lisbon</t>
  </si>
  <si>
    <t xml:space="preserve">Rough-legged Hawk</t>
  </si>
  <si>
    <t xml:space="preserve">Portugal @ National Veterinary Research Laboratory</t>
  </si>
  <si>
    <t xml:space="preserve">Royal tern</t>
  </si>
  <si>
    <t xml:space="preserve">Republic of Korea @ National Veterinary Research &amp; Quarantine Service (Bacteriology division) @ Anyang-si</t>
  </si>
  <si>
    <t xml:space="preserve">Ruddy-breasted Crake</t>
  </si>
  <si>
    <t xml:space="preserve">Republic of Korea @ The National Veterinary Research and Quarantine Service @ Anyang</t>
  </si>
  <si>
    <t xml:space="preserve">Ruddy shelduck</t>
  </si>
  <si>
    <t xml:space="preserve">Romania @ County Sanitary Veterinary Laboratory, Suceava @ Suceava</t>
  </si>
  <si>
    <t xml:space="preserve">Ruff</t>
  </si>
  <si>
    <t xml:space="preserve">Romania @ County State Veterinary Laboratory (CSVL), Ialomita @ Ialomita</t>
  </si>
  <si>
    <t xml:space="preserve">Ruminants</t>
  </si>
  <si>
    <t xml:space="preserve">Romania @ County State Veterinary Laboratory (CSVL), Salaj @ Salaj</t>
  </si>
  <si>
    <t xml:space="preserve">Salmon</t>
  </si>
  <si>
    <t xml:space="preserve">Romania @ Institute for Diagnosis and Animal Health</t>
  </si>
  <si>
    <t xml:space="preserve">Salmonidae</t>
  </si>
  <si>
    <t xml:space="preserve">Romania @ Sanitary Veterinary Laboratory Constanta</t>
  </si>
  <si>
    <t xml:space="preserve">Sambar (Cervus unicolor)</t>
  </si>
  <si>
    <t xml:space="preserve">Romania @ State Veterinary Laboratory, Vaslui @ Vaslui</t>
  </si>
  <si>
    <t xml:space="preserve">Sanderling</t>
  </si>
  <si>
    <t xml:space="preserve">Russian Federation @ All-Russian Research Institute for Experimental Veterinary Medicine (VIEV) @ Moscow</t>
  </si>
  <si>
    <t xml:space="preserve">Sandwich tern</t>
  </si>
  <si>
    <t xml:space="preserve">Russian Federation @ Altay Territory Veterinary Laboratory (AKVL)</t>
  </si>
  <si>
    <t xml:space="preserve">Sari</t>
  </si>
  <si>
    <t xml:space="preserve">Russian Federation @ Central Veterinary Laboratory (FGI), Moscow @ Moscow</t>
  </si>
  <si>
    <t xml:space="preserve">Scallops And Oysters</t>
  </si>
  <si>
    <t xml:space="preserve">Russian Federation @ Central Veterinary Laboratory, Moscow @ Moscow</t>
  </si>
  <si>
    <t xml:space="preserve">Scaly-breasted Munia</t>
  </si>
  <si>
    <t xml:space="preserve">Russian Federation @ Chelyabinsk Inter-Regional Veterinary Laboratory (FGI-TIVL)</t>
  </si>
  <si>
    <t xml:space="preserve">Scolopacidae (unidentified):Scolopacidae (incognita)(Scolopacidae)</t>
  </si>
  <si>
    <t xml:space="preserve">Russian Federation @ Federal Governmental Budgetary Institution "Federal Centre for Animal Health" (FGBI ARRIAH) @ Vladimir</t>
  </si>
  <si>
    <t xml:space="preserve">Sea cucumber/Tropical species</t>
  </si>
  <si>
    <t xml:space="preserve">Russian Federation @ Kemerovo Interoblast Veterinary Laboratory (National laboratory) @ Kemerovo</t>
  </si>
  <si>
    <t xml:space="preserve">Secretary bird (Sagittarius serpentarius)</t>
  </si>
  <si>
    <t xml:space="preserve">Russian Federation @ Krasnodar Interregional Veterinary Laboratory (National Laboratory) @ Krasnodar</t>
  </si>
  <si>
    <t xml:space="preserve">Semipalmated Plover</t>
  </si>
  <si>
    <t xml:space="preserve">Russian Federation @ Liningrad Inter regional Veterinary Laboratory @ Liningrad</t>
  </si>
  <si>
    <t xml:space="preserve">Semipalmated Sandpiper</t>
  </si>
  <si>
    <t xml:space="preserve">Russian Federation @ Novosibirsk Inter-Regional Veterinary Laboratory (FGI-NIVL)</t>
  </si>
  <si>
    <t xml:space="preserve">Serval (Leptailurus serval)</t>
  </si>
  <si>
    <t xml:space="preserve">Russian Federation @ OIE Regional Reference Laboratory @ Vladimir</t>
  </si>
  <si>
    <t xml:space="preserve">Shama oriental</t>
  </si>
  <si>
    <t xml:space="preserve">Russian Federation @ Petrov Zonal Veterinary @ Petrov</t>
  </si>
  <si>
    <t xml:space="preserve">Sheep</t>
  </si>
  <si>
    <t xml:space="preserve">Russian Federation @ Primorye Interregional Veterinary Laboratory</t>
  </si>
  <si>
    <t xml:space="preserve">Shikra</t>
  </si>
  <si>
    <t xml:space="preserve">Russian Federation @ Regional Veterinary Laboratory - Kropotkinskay (National Laboratory) @ Kropotkinskay</t>
  </si>
  <si>
    <t xml:space="preserve">Shrimp</t>
  </si>
  <si>
    <t xml:space="preserve">Russian Federation @ Regional Veterinary Laboratory @ Kaliningrad</t>
  </si>
  <si>
    <t xml:space="preserve">Silver Teal (Anas versicolor)</t>
  </si>
  <si>
    <t xml:space="preserve">Russian Federation @ Saratov Inter-Regional Veterinary Laboratory</t>
  </si>
  <si>
    <t xml:space="preserve">Skunk</t>
  </si>
  <si>
    <t xml:space="preserve">Russian Federation @ State Institution Vologda Regional Veterinary Laboratory</t>
  </si>
  <si>
    <t xml:space="preserve">Slaty-breasted Rail</t>
  </si>
  <si>
    <t xml:space="preserve">Russian Federation @ Stavropol Interregional Veterinary Laboratory @ Stavropol</t>
  </si>
  <si>
    <t xml:space="preserve">Slender-billed Gull</t>
  </si>
  <si>
    <t xml:space="preserve">Russian Federation @ The State Scientific Centre for Virology and Biotechnology, Novosibirsk (‘NPC Vector’) (National Laboratory) @ Novosibirsk</t>
  </si>
  <si>
    <t xml:space="preserve">Small Ruminant</t>
  </si>
  <si>
    <t xml:space="preserve">Russian Federation @ Tiumen Region Veterinary Laboratory (TOVL)</t>
  </si>
  <si>
    <t xml:space="preserve">Snakes</t>
  </si>
  <si>
    <t xml:space="preserve">Russian Federation @ Veterinary Laboratory, Rostov @ Rostov</t>
  </si>
  <si>
    <t xml:space="preserve">Snow goose (Anser caerulescens)</t>
  </si>
  <si>
    <t xml:space="preserve">Russian Federation @ Volgograd Regional Laboratory (National laboratory) @ Volgograd</t>
  </si>
  <si>
    <t xml:space="preserve">Snow leopard (Panthera uncia)</t>
  </si>
  <si>
    <t xml:space="preserve">Russian Federation @ Voronezh Regional Veterinary Laboratory (National laboratory) @ Voronezh</t>
  </si>
  <si>
    <t xml:space="preserve">Snowy Owl (Bubo scandiacus)</t>
  </si>
  <si>
    <t xml:space="preserve">Rwanda @ National veterinary Laboratory, RARDA @ Kigali</t>
  </si>
  <si>
    <t xml:space="preserve">South American Tern</t>
  </si>
  <si>
    <t xml:space="preserve">Sao Tome and Principe @ Laboratoire National de diagnostic vétérinaire</t>
  </si>
  <si>
    <t xml:space="preserve">Southern Lapwing</t>
  </si>
  <si>
    <t xml:space="preserve">Saudi Arabia @ Jazan Diagnostic Laboratory @ Jazan</t>
  </si>
  <si>
    <t xml:space="preserve">Speckled Teal</t>
  </si>
  <si>
    <t xml:space="preserve">Saudi Arabia @ National Veterinary Diagnostic Laboratory (Saudi Arabia) @ Riyadh</t>
  </si>
  <si>
    <t xml:space="preserve">Spot-billed Duck:Anas poecilorhyncha(Anatidae)</t>
  </si>
  <si>
    <t xml:space="preserve">Senegal @ Ecole Inter-Etats des Sciences et Medecine Veterinaires (EISMV) @ Dakar</t>
  </si>
  <si>
    <t xml:space="preserve">Spotted crake</t>
  </si>
  <si>
    <t xml:space="preserve">Senegal @ Institut Pasteur de Dakar, Sénégal</t>
  </si>
  <si>
    <t xml:space="preserve">Spotted dove</t>
  </si>
  <si>
    <t xml:space="preserve">Senegal @ Laboratoire National d'Elevage et de Recherche Vétérinaires (LNERV) @ Dakar-Hann</t>
  </si>
  <si>
    <t xml:space="preserve">Spotted eagle-owl (Bubo africanus)</t>
  </si>
  <si>
    <t xml:space="preserve">Senegal @ l'ISRA-Laboratoire national de l'élevage et de recherches vétérinaires</t>
  </si>
  <si>
    <t xml:space="preserve">Spotted hyena (Crocuta crocuta)</t>
  </si>
  <si>
    <t xml:space="preserve">Serbia @ Scientific Veterinary Institute of Novi Sad @ Novi Sad</t>
  </si>
  <si>
    <t xml:space="preserve">Spotted sandpiper</t>
  </si>
  <si>
    <t xml:space="preserve">Serbia @ Veterinary Specialized Institute - Kraljevo @ Kraljevo</t>
  </si>
  <si>
    <t xml:space="preserve">Spotted wood owl (Strix seloputo)</t>
  </si>
  <si>
    <t xml:space="preserve">Seychelles @ Public Health Laboratory @ Victoria</t>
  </si>
  <si>
    <t xml:space="preserve">Springbok</t>
  </si>
  <si>
    <t xml:space="preserve">Sierra Leone @ Central Veterinary Laboratory Teko @ Freetown</t>
  </si>
  <si>
    <t xml:space="preserve">Spur-winged Goose</t>
  </si>
  <si>
    <t xml:space="preserve">Slovakia @ State Veterinary Institute (NRL) @ Zvolen</t>
  </si>
  <si>
    <t xml:space="preserve">Spur-winged Lapwing</t>
  </si>
  <si>
    <t xml:space="preserve">Slovakia @ State Veterinary and Food Institute Dolny Kubin @ Dolny Kubin</t>
  </si>
  <si>
    <t xml:space="preserve">Starling</t>
  </si>
  <si>
    <t xml:space="preserve">Slovenia @ National Veterinary Institute (national reference laboratory), Ljubljana @ Ljubljana</t>
  </si>
  <si>
    <t xml:space="preserve">Stone marten</t>
  </si>
  <si>
    <t xml:space="preserve">Slovenia @ National Veterinary Institute, Regional Office, Celje</t>
  </si>
  <si>
    <t xml:space="preserve">Stork</t>
  </si>
  <si>
    <t xml:space="preserve">South Africa @ Agricultural Research Council (ARC)-Onderstepoort Veterinary Institute (OVI) @ Pretoria</t>
  </si>
  <si>
    <t xml:space="preserve">Streak-eared Bulbul</t>
  </si>
  <si>
    <t xml:space="preserve">South Africa @ Allerton Provincial Laboratory @ Pietermaritzburg</t>
  </si>
  <si>
    <t xml:space="preserve">Streaked Weaver</t>
  </si>
  <si>
    <t xml:space="preserve">South Africa @ Department of Veterinary Tropical Diseases (DVTD) @ Pretoria</t>
  </si>
  <si>
    <t xml:space="preserve">Strigidae (unidentified):Strigidae (incognita)(Strigidae)</t>
  </si>
  <si>
    <t xml:space="preserve">South Africa @ Golden Vetpath IDEXX Laboratory @ Gallo Manor</t>
  </si>
  <si>
    <t xml:space="preserve">Striped crake</t>
  </si>
  <si>
    <t xml:space="preserve">South Africa @ National Institute For Communicable Diseases</t>
  </si>
  <si>
    <t xml:space="preserve">Suncus murinus</t>
  </si>
  <si>
    <t xml:space="preserve">South Africa @ National Institute for Communicable Diseases</t>
  </si>
  <si>
    <t xml:space="preserve">Swainson's Hawk</t>
  </si>
  <si>
    <t xml:space="preserve">South Africa @ Onderstepoort Veterinary Institute (OVI) @ Pretoria</t>
  </si>
  <si>
    <t xml:space="preserve">Swallow</t>
  </si>
  <si>
    <t xml:space="preserve">South Africa @ Potchefstroom Provincial Laboratory @ Potchefstroom</t>
  </si>
  <si>
    <t xml:space="preserve">Swan</t>
  </si>
  <si>
    <t xml:space="preserve">South Africa @ Provincial Veterinary Laboratory, Stellenbosch, South Africa (National laboratory) @ Stellenbosch</t>
  </si>
  <si>
    <t xml:space="preserve">Swift tern (Thalasseus bergii)</t>
  </si>
  <si>
    <t xml:space="preserve">South Africa @ Stellenbosch Veterinary Laboratory</t>
  </si>
  <si>
    <t xml:space="preserve">Swine</t>
  </si>
  <si>
    <t xml:space="preserve">South Africa @ University of Pretoria, Veterinary Faculty - Onderstepoort, Section Pathology @ Onderstepoort</t>
  </si>
  <si>
    <t xml:space="preserve">Sydney Rock Oyster Saccostrea Glomerata</t>
  </si>
  <si>
    <t xml:space="preserve">South Africa @ Vetdiagnostix (Private Laboratory) @ Cascades</t>
  </si>
  <si>
    <t xml:space="preserve">Taiwan Blue Magpie</t>
  </si>
  <si>
    <t xml:space="preserve">South Sudan @ Central Veterinary Laboratory, CVL @ Juba</t>
  </si>
  <si>
    <t xml:space="preserve">Teal</t>
  </si>
  <si>
    <t xml:space="preserve">Spain @ Animal Health Research Centre (CISA-INIA)</t>
  </si>
  <si>
    <t xml:space="preserve">Terek sandpiper</t>
  </si>
  <si>
    <t xml:space="preserve">Spain @ Central Veterinary Laboratory (Spain)</t>
  </si>
  <si>
    <t xml:space="preserve">Tern</t>
  </si>
  <si>
    <t xml:space="preserve">Spain @ Centro de Investigación en Sanidad Animal (CISA-INIA) @ Madrid</t>
  </si>
  <si>
    <t xml:space="preserve">Tetraoninae (unidentified):Tetraoninae (incognita)(Phasianidae)</t>
  </si>
  <si>
    <t xml:space="preserve">Spain @ Centro de Vigilancia Sanitaria Veterinaria (VISAVET) @ Madrid</t>
  </si>
  <si>
    <t xml:space="preserve">The Giant Freshwater Prawn</t>
  </si>
  <si>
    <t xml:space="preserve">Spain @ Laboratorio Regional de Sanidad Animal de Cantabria (Local Laboratory) @ Cantabria</t>
  </si>
  <si>
    <t xml:space="preserve">Thick-billed Warbler</t>
  </si>
  <si>
    <t xml:space="preserve">Spain @ Laboratory of the province of Cádiz @ Cádiz</t>
  </si>
  <si>
    <t xml:space="preserve">Threskiornithidae (unidentified):Threskiornithidae (incognita)(Threskiornithidae)</t>
  </si>
  <si>
    <t xml:space="preserve">Spain @ NEIKER-TECNALIA</t>
  </si>
  <si>
    <t xml:space="preserve">Thrush (Turdidae)</t>
  </si>
  <si>
    <t xml:space="preserve">Spain @ Sea Research Institute</t>
  </si>
  <si>
    <t xml:space="preserve">Tiger (Panthera tigris)</t>
  </si>
  <si>
    <t xml:space="preserve">Spain @ Universidad de Valencia, (Unidad de Parasitología, Facultad de Farmacia) @ Valencia</t>
  </si>
  <si>
    <t xml:space="preserve">Trumpeter swan (Cygnus buccinator)</t>
  </si>
  <si>
    <t xml:space="preserve">Sri Lanka @ The Veterinary Research Institute</t>
  </si>
  <si>
    <t xml:space="preserve">Tufted duck</t>
  </si>
  <si>
    <t xml:space="preserve">Sudan @ Central Veterinary Research Laboratory, Soba</t>
  </si>
  <si>
    <t xml:space="preserve">Tundra swan</t>
  </si>
  <si>
    <t xml:space="preserve">Sweden @ National Veterinary Institute, SVA</t>
  </si>
  <si>
    <t xml:space="preserve">Turkey</t>
  </si>
  <si>
    <t xml:space="preserve">Sweden @ National Veterinary Institute, Uppsala @ Uppsala</t>
  </si>
  <si>
    <t xml:space="preserve">Turkey vulture (Cathartes aura)</t>
  </si>
  <si>
    <t xml:space="preserve">Sweden @ State Veterinary Institute</t>
  </si>
  <si>
    <t xml:space="preserve">Turtledove</t>
  </si>
  <si>
    <t xml:space="preserve">Switzerland @ Institut fur Viruskrankheiten un Immunoprophylaxis, Mittelhäusern</t>
  </si>
  <si>
    <t xml:space="preserve">Umbrella cockatoo</t>
  </si>
  <si>
    <t xml:space="preserve">Switzerland @ Institute for Clinical Microbiology and Immunology (IKMI), St-Gallen @ St. Gallen</t>
  </si>
  <si>
    <t xml:space="preserve">Unspecified Amphibians</t>
  </si>
  <si>
    <t xml:space="preserve">Switzerland @ Institute for Veterinary Pathology (IVPZ) @ Zurich</t>
  </si>
  <si>
    <t xml:space="preserve">Unspecified arthropod</t>
  </si>
  <si>
    <t xml:space="preserve">Switzerland @ Institute for Veterinary Virology, University of Zurich @ Zurich</t>
  </si>
  <si>
    <t xml:space="preserve">Unspecified bird</t>
  </si>
  <si>
    <t xml:space="preserve">Switzerland @ Institute of Veterinary Virology, Vetsuisse-Faculty, University of Bern @ Bern</t>
  </si>
  <si>
    <t xml:space="preserve">Unspecified Crustaceans</t>
  </si>
  <si>
    <t xml:space="preserve">Switzerland @ Institute of Virology, Vetsuisse-Faculty, Veterinary Medicine, University of Zurich @ Zurich</t>
  </si>
  <si>
    <t xml:space="preserve">Unspecified env. sample</t>
  </si>
  <si>
    <t xml:space="preserve">Switzerland @ National Centre for Zoonoses, Bacterial Animal Diseases and Antimicrobial Resistance (ZOBA) (National Laboratory)</t>
  </si>
  <si>
    <t xml:space="preserve">Unspecified fish</t>
  </si>
  <si>
    <t xml:space="preserve">Switzerland @ National Reference Centre for Diseases of Poultry and Rabbits, University of Zurich (National Laboratory) @ Zurich</t>
  </si>
  <si>
    <t xml:space="preserve">Unspecified mammal</t>
  </si>
  <si>
    <t xml:space="preserve">Switzerland @ National Reference Centre for Diseases of Poultry and Rabbits, University of Zurich (Regional Reference Laboratory)</t>
  </si>
  <si>
    <t xml:space="preserve">Unspecified Mollusk</t>
  </si>
  <si>
    <t xml:space="preserve">Switzerland @ NeuroCentre, Department of Clinical Research and Veterinary Public Health @ Bern</t>
  </si>
  <si>
    <t xml:space="preserve">Unspecified Reptiles</t>
  </si>
  <si>
    <t xml:space="preserve">Tajikistan @ Diagnostic Veterinary National Centre</t>
  </si>
  <si>
    <t xml:space="preserve">Ural owl</t>
  </si>
  <si>
    <t xml:space="preserve">Thailand @ Chulalongkorn University Center for Emerging and Re-Emerging Diseases in Animals @ Bangkok</t>
  </si>
  <si>
    <t xml:space="preserve">Violet tipped courser (or bronze-winged courser)</t>
  </si>
  <si>
    <t xml:space="preserve">Thailand @ FMD Regional Reference Laboratory Pakchong</t>
  </si>
  <si>
    <t xml:space="preserve">Vulture</t>
  </si>
  <si>
    <t xml:space="preserve">Thailand @ Inland Aquatic Animal Health Research Institute (AAHRI) @ Bangkok</t>
  </si>
  <si>
    <t xml:space="preserve">Wader</t>
  </si>
  <si>
    <t xml:space="preserve">Thailand @ Lower Northeasthern Veterinary Research and Development (KonKean) Centre, Department of Livestock Development (Local Laboratory)</t>
  </si>
  <si>
    <t xml:space="preserve">Warbler</t>
  </si>
  <si>
    <t xml:space="preserve">Thailand @ Lower Northern Veterinary Research and Development Center, Department of Livestock Development (Local laboratory)</t>
  </si>
  <si>
    <t xml:space="preserve">Warthog</t>
  </si>
  <si>
    <t xml:space="preserve">Thailand @ MAHIDOL UNIVERSITY</t>
  </si>
  <si>
    <t xml:space="preserve">Water buffalo</t>
  </si>
  <si>
    <t xml:space="preserve">Thailand @ National Institute for Animal Health (National Laboratory) @ Kabete</t>
  </si>
  <si>
    <t xml:space="preserve">Watercock</t>
  </si>
  <si>
    <t xml:space="preserve">Thailand @ National Institute of Animal Health (Thailand)</t>
  </si>
  <si>
    <t xml:space="preserve">Water hen</t>
  </si>
  <si>
    <t xml:space="preserve">Thailand @ National Institute of Animal Health @ Pak chong</t>
  </si>
  <si>
    <t xml:space="preserve">Western Grebe (Aechmophorus occidentalis)</t>
  </si>
  <si>
    <t xml:space="preserve">Thailand @ National Institute of Health (NIH) @ Bangkok</t>
  </si>
  <si>
    <t xml:space="preserve">Whiskered tern</t>
  </si>
  <si>
    <t xml:space="preserve">Thailand @ Regional Laboratory, Pitsanuloke @ Pitsanuloke</t>
  </si>
  <si>
    <t xml:space="preserve">White backed duck</t>
  </si>
  <si>
    <t xml:space="preserve">Thailand @ Upper Northeastern Regional Veterinary Research and Development Centre, Department of Livestock Development, Konkean province</t>
  </si>
  <si>
    <t xml:space="preserve">White backed night heron</t>
  </si>
  <si>
    <t xml:space="preserve">Togo @ Laboratoire Central Vétérinaire de Lomé @ Lomé</t>
  </si>
  <si>
    <t xml:space="preserve">White-breasted Waterhen</t>
  </si>
  <si>
    <t xml:space="preserve">Tonga @ National Laboratory (Tonga) @ Kiev</t>
  </si>
  <si>
    <t xml:space="preserve">White-cheeked pintail</t>
  </si>
  <si>
    <t xml:space="preserve">Tunisia @ Institut de la Recherche Vétérinaire de Tunisie (IRVT) @ Tunis</t>
  </si>
  <si>
    <t xml:space="preserve">White-faced Whistling-Duck</t>
  </si>
  <si>
    <t xml:space="preserve">Tunisia @ Pathological anatomy laboratory of the National Veterinary Medicine School @ Sidi Thabet</t>
  </si>
  <si>
    <t xml:space="preserve">White fronted sand plover</t>
  </si>
  <si>
    <t xml:space="preserve">Tunisia @ Veterinary Research Institute of Tunisia, Virology Laboratory</t>
  </si>
  <si>
    <t xml:space="preserve">White-naped crane:Grus vipio(Gruidae)</t>
  </si>
  <si>
    <t xml:space="preserve">Türkiye @ Central Veterinary Control and Research Institute</t>
  </si>
  <si>
    <t xml:space="preserve">White rhinoceros (Ceratotherium simum)</t>
  </si>
  <si>
    <t xml:space="preserve">Türkiye @ Central Veterinary Control and Research Institute, Ankara (National Laboratory) @ Ankara</t>
  </si>
  <si>
    <t xml:space="preserve">White-rumped Munia</t>
  </si>
  <si>
    <t xml:space="preserve">Türkiye @ Elazig Veterinary Control and Research Institute</t>
  </si>
  <si>
    <t xml:space="preserve">White-rumped Sandpiper</t>
  </si>
  <si>
    <t xml:space="preserve">Türkiye @ FMD Institute</t>
  </si>
  <si>
    <t xml:space="preserve">White Stork:Ciconia ciconia(Ciconiidae)</t>
  </si>
  <si>
    <t xml:space="preserve">Türkiye @ Foot and Mouth Institute, Ankara, Turkey</t>
  </si>
  <si>
    <t xml:space="preserve">White-tailed deer (Odocoileus virginianus)</t>
  </si>
  <si>
    <t xml:space="preserve">Türkiye @ National Laboratory (Turkey)</t>
  </si>
  <si>
    <t xml:space="preserve">White tailed eagle (Haliaeetus albicilla)</t>
  </si>
  <si>
    <t xml:space="preserve">Türkiye @ Pendik Veterinary Control and Research Institute @ Ankara</t>
  </si>
  <si>
    <t xml:space="preserve">White-winged black tern (Chlidonias leucopterus)</t>
  </si>
  <si>
    <t xml:space="preserve">Türkiye @ Samsun Veterinary Control and Research Institute</t>
  </si>
  <si>
    <t xml:space="preserve">White-winged Coot</t>
  </si>
  <si>
    <t xml:space="preserve">Uganda @ NADDEC @ Entebbe</t>
  </si>
  <si>
    <t xml:space="preserve">Whooper Swan:Cygnus cygnus(Anatidae)</t>
  </si>
  <si>
    <t xml:space="preserve">Ukraine @ Central State Laboratory of Veterinary Medicine (National Laboratory)</t>
  </si>
  <si>
    <t xml:space="preserve">Wigeons:Mareca penelope(Anatidae)</t>
  </si>
  <si>
    <t xml:space="preserve">Ukraine @ Donetsk Inter-Regional State Laboratory of Veterinary Medicine for Avian Diseases</t>
  </si>
  <si>
    <t xml:space="preserve">Wild boar:Sus scrofa(Suidae)</t>
  </si>
  <si>
    <t xml:space="preserve">Ukraine @ Regional State Veterinary Medicine Laboratory</t>
  </si>
  <si>
    <t xml:space="preserve">Wild cat</t>
  </si>
  <si>
    <t xml:space="preserve">Ukraine @ State Laboratory for Veterinary Medicine, Simferopol @ Simferopol</t>
  </si>
  <si>
    <t xml:space="preserve">Wild dog</t>
  </si>
  <si>
    <t xml:space="preserve">Ukraine @ State Research Institute for Laboratory Diagnostic and Veterinary and Sanitary Expertise, Kiev @ Kiev</t>
  </si>
  <si>
    <t xml:space="preserve">Wild duck</t>
  </si>
  <si>
    <t xml:space="preserve">United Kingdom @ AHVLA Bury St Edmunds @ Suffolk</t>
  </si>
  <si>
    <t xml:space="preserve">Wild fox</t>
  </si>
  <si>
    <t xml:space="preserve">United Kingdom @ Agri-Food and Biosciences Institute, Department of Agriculture, Veterinary Sciences Division @ Belfast</t>
  </si>
  <si>
    <t xml:space="preserve">Wild goat</t>
  </si>
  <si>
    <t xml:space="preserve">United Kingdom @ Animal Health Research Institute (National Laboratory)</t>
  </si>
  <si>
    <t xml:space="preserve">Wild horse</t>
  </si>
  <si>
    <t xml:space="preserve">United Kingdom @ Animal and Plant Health Agency (APHA) @ Weybridge</t>
  </si>
  <si>
    <t xml:space="preserve">Wild rabbit</t>
  </si>
  <si>
    <t xml:space="preserve">United Kingdom @ Cestode Zoonoses Research Group, Parasitology and Disease Research Centre @ Salford</t>
  </si>
  <si>
    <t xml:space="preserve">Wild reindeer</t>
  </si>
  <si>
    <t xml:space="preserve">United Kingdom @ European Union reference laboratory for transmissible spongiform encephalopathies (TSEs), United Kingdom</t>
  </si>
  <si>
    <t xml:space="preserve">Wild tundra swan</t>
  </si>
  <si>
    <t xml:space="preserve">United Kingdom @ Fisheries Research Services, Aberdeen @ Aberdeen, Scotland</t>
  </si>
  <si>
    <t xml:space="preserve">Wild turkey (Meleagris gallopavo)</t>
  </si>
  <si>
    <t xml:space="preserve">United Kingdom @ Institute for Animal Health (IAH)-Pirbright laboratory</t>
  </si>
  <si>
    <t xml:space="preserve">Wild waterfowl (wild ducks)</t>
  </si>
  <si>
    <t xml:space="preserve">United Kingdom @ Institute for Animal Health, Compton Laboratory @ Newbury</t>
  </si>
  <si>
    <t xml:space="preserve">Wolf</t>
  </si>
  <si>
    <t xml:space="preserve">United Kingdom @ Institute for Animal Health-Compton</t>
  </si>
  <si>
    <t xml:space="preserve">Wood Duck (Aix sponsa) (Anatidae)</t>
  </si>
  <si>
    <t xml:space="preserve">United Kingdom @ Marine Scotland Marine Laboratory @ Scotland</t>
  </si>
  <si>
    <t xml:space="preserve">Wood sandpiper</t>
  </si>
  <si>
    <t xml:space="preserve">United Kingdom @ Moredun Research Institute</t>
  </si>
  <si>
    <t xml:space="preserve">Wood warbler</t>
  </si>
  <si>
    <t xml:space="preserve">United Kingdom @ Mycoplasma Group, Department of Statutory and Exotic Bacterial Diseases @ Weybridge</t>
  </si>
  <si>
    <t xml:space="preserve">Yaks</t>
  </si>
  <si>
    <t xml:space="preserve">United Kingdom @ Royal Veterinary College (RVC) @ London</t>
  </si>
  <si>
    <t xml:space="preserve">Yellow-billed duck (Anas undulata)</t>
  </si>
  <si>
    <t xml:space="preserve">United Kingdom @ TALA Research Group</t>
  </si>
  <si>
    <t xml:space="preserve">Yellow-hooded Blackbird</t>
  </si>
  <si>
    <t xml:space="preserve">United Kingdom @ The Natural History Museum (NHM) @ London</t>
  </si>
  <si>
    <t xml:space="preserve">Yellow-legged Gull</t>
  </si>
  <si>
    <t xml:space="preserve">United Kingdom @ The Pibright Institute @ Woking</t>
  </si>
  <si>
    <t xml:space="preserve">Yellow-throated marten (Martes flavigula)</t>
  </si>
  <si>
    <t xml:space="preserve">United Kingdom @ The Royal Veterinary College - RVC</t>
  </si>
  <si>
    <t xml:space="preserve">Yellow-vented Bulbul</t>
  </si>
  <si>
    <t xml:space="preserve">United Kingdom @ Veterinary Economics and Epidemiology Research Unit (VEERU) @ Reading</t>
  </si>
  <si>
    <t xml:space="preserve">Zanzibar bushy tailed mongoose</t>
  </si>
  <si>
    <t xml:space="preserve">United Kingdom @ Veterinary Laboratories Agency for HPAI</t>
  </si>
  <si>
    <t xml:space="preserve">Zanzibar four totheded elephant shrew</t>
  </si>
  <si>
    <t xml:space="preserve">United Kingdom @ Veterinary Laboratories Agency, Bury St Edmunds @ Bury St. Edmonds</t>
  </si>
  <si>
    <t xml:space="preserve">Zanzibar pygmy shrew</t>
  </si>
  <si>
    <t xml:space="preserve">United Kingdom @ Veterinary Laboratories Agency, VLA Weybridge</t>
  </si>
  <si>
    <t xml:space="preserve">Zanzibar slender mongoose</t>
  </si>
  <si>
    <t xml:space="preserve">United Kingdom @ Veterinary Laboratories Agency, VLA Weybridge*</t>
  </si>
  <si>
    <t xml:space="preserve">Zebras</t>
  </si>
  <si>
    <t xml:space="preserve">United Kingdom @ Veterinary Laboratories Agency, VLA Weybridge**</t>
  </si>
  <si>
    <t xml:space="preserve">United Kingdom @ Veterinary Medicines Directorate</t>
  </si>
  <si>
    <t xml:space="preserve">United Kingdom @ Weymouth Laboratory @ Weymouth</t>
  </si>
  <si>
    <t xml:space="preserve">United Republic of Tanzania @ Animal Diseases Research Institute-Temeke @ Dar es Salaam</t>
  </si>
  <si>
    <t xml:space="preserve">United Republic of Tanzania @ Central Veterinary Laboratory (CVL) @ Dar es Salaam</t>
  </si>
  <si>
    <t xml:space="preserve">United Republic of Tanzania @ Central Veterinary Laboratory (Tanzania) @ Temeke</t>
  </si>
  <si>
    <t xml:space="preserve">United Republic of Tanzania @ Centre for Infectious Diseases and Biotechnology (CIDB) @ Dar es Salaam</t>
  </si>
  <si>
    <t xml:space="preserve">United Republic of Tanzania @ College of Veterinary and Medical Sciences (CVMS) @ Morogoro</t>
  </si>
  <si>
    <t xml:space="preserve">United Republic of Tanzania @ TVLA Centre - Tabora @ Tabora</t>
  </si>
  <si>
    <t xml:space="preserve">United Republic of Tanzania @ TVLA Centre-Arusha @ Arusha</t>
  </si>
  <si>
    <t xml:space="preserve">United Republic of Tanzania @ TVLA Centre-Dodoma @ Dodoma</t>
  </si>
  <si>
    <t xml:space="preserve">United Republic of Tanzania @ TVLA Centre-Iringa @ Iringa</t>
  </si>
  <si>
    <t xml:space="preserve">United Republic of Tanzania @ TVLA Centre-Mtwara @ Mtwara</t>
  </si>
  <si>
    <t xml:space="preserve">United Republic of Tanzania @ TVLA Centre-Mwanza @ Mwanza</t>
  </si>
  <si>
    <t xml:space="preserve">United Republic of Tanzania @ VVBD – Kigoma @ Kigoma</t>
  </si>
  <si>
    <t xml:space="preserve">United Republic of Tanzania @ VVBD –Tanga @ Tanga</t>
  </si>
  <si>
    <t xml:space="preserve">United States of America @ Animal Diseases Research Unit (USDA/ARS) @ Pullman</t>
  </si>
  <si>
    <t xml:space="preserve">United States of America @ Animal Population Health Institute (APHI) @ Fort Collins</t>
  </si>
  <si>
    <t xml:space="preserve">United States of America @ Aquaculture Pathology Laboratory @ Tucson</t>
  </si>
  <si>
    <t xml:space="preserve">United States of America @ Arkansas Livestock and Poultry Commission (ARLPC) @ Arkansas</t>
  </si>
  <si>
    <t xml:space="preserve">United States of America @ California Animal Health and Food Safety Laboratory System</t>
  </si>
  <si>
    <t xml:space="preserve">United States of America @ Centers for Disease Control and Prevention (CDC), USA</t>
  </si>
  <si>
    <t xml:space="preserve">United States of America @ Centers for Disease Control and Prevention, CDC</t>
  </si>
  <si>
    <t xml:space="preserve">United States of America @ Cornell University, College of Veterinary Medicine</t>
  </si>
  <si>
    <t xml:space="preserve">United States of America @ Fish Diagnostic Laboratory @ Mississippi</t>
  </si>
  <si>
    <t xml:space="preserve">United States of America @ Food Animal Health Research Program @ Wooster</t>
  </si>
  <si>
    <t xml:space="preserve">United States of America @ Foreign Animal Disease Diagnostic Laboratory (FADDL) of the National Veterinary Service Laboratories @ Ames</t>
  </si>
  <si>
    <t xml:space="preserve">United States of America @ Friedman Shellfish Health Laboratory @ Seattle</t>
  </si>
  <si>
    <t xml:space="preserve">United States of America @ Harrisonburg Virginia Laboratory @ Virginia</t>
  </si>
  <si>
    <t xml:space="preserve">United States of America @ IDDEX Reference laboratories</t>
  </si>
  <si>
    <t xml:space="preserve">United States of America @ Iowa State University</t>
  </si>
  <si>
    <t xml:space="preserve">United States of America @ Louisiana Animal Disease Diagnostic Laboratory @ Louisiana</t>
  </si>
  <si>
    <t xml:space="preserve">United States of America @ Maxwell H. Gluck Equine Research Center @ Lexington</t>
  </si>
  <si>
    <t xml:space="preserve">United States of America @ Michigan State University (MSU) @ Michigan</t>
  </si>
  <si>
    <t xml:space="preserve">United States of America @ Microbiology laboratory, Veterinary and Zootechnology Faculty</t>
  </si>
  <si>
    <t xml:space="preserve">United States of America @ Moorefield West Virginia Laboratory</t>
  </si>
  <si>
    <t xml:space="preserve">United States of America @ NVSL (U.S.A. - Arkansas) @ Arkansas</t>
  </si>
  <si>
    <t xml:space="preserve">United States of America @ NVSL (U.S.A. - Idaho) @ Idaho</t>
  </si>
  <si>
    <t xml:space="preserve">United States of America @ NVSL (U.S.A. - Texas) @ Texas</t>
  </si>
  <si>
    <t xml:space="preserve">United States of America @ National Center for Zoonotic, Vector-borne &amp; Enteric Diseases @ Atlanta</t>
  </si>
  <si>
    <t xml:space="preserve">United States of America @ National Poultry Improvement Plan (NPIP) laboratory (Local Laboratory)</t>
  </si>
  <si>
    <t xml:space="preserve">United States of America @ National Veterinary Services Laboratories (NVSL)</t>
  </si>
  <si>
    <t xml:space="preserve">United States of America @ National Veterinary Services Laboratories (NVSL), Animal and Plant Health Inspection Service (APHIS) @ Ames</t>
  </si>
  <si>
    <t xml:space="preserve">United States of America @ National Veterinary Services Laboratory (NVSL), Ames @ Ames</t>
  </si>
  <si>
    <t xml:space="preserve">United States of America @ National Veterinary Services Laboratory (U.S.A.) @ Wisconsin</t>
  </si>
  <si>
    <t xml:space="preserve">United States of America @ National Veterinary Services Laboratory, NVSL (U.S.A. - Colorado) @ Colorado</t>
  </si>
  <si>
    <t xml:space="preserve">United States of America @ National Veterinary Services Laboratory, NVSL (U.S.A. - Utah) @ Utah</t>
  </si>
  <si>
    <t xml:space="preserve">United States of America @ Nebraska University Diagnostic Center (NE-UDC) @ Nebraska</t>
  </si>
  <si>
    <t xml:space="preserve">United States of America @ Oregon State University Laboratory</t>
  </si>
  <si>
    <t xml:space="preserve">United States of America @ Pennsylvania Animal Diagnostic Laboratory @ Pennsylvania</t>
  </si>
  <si>
    <t xml:space="preserve">United States of America @ Plum Island Animal Disease Center (PIADC) @ Orient Point</t>
  </si>
  <si>
    <t xml:space="preserve">United States of America @ Poultry Diagnostic and Research Center, University of Georgia @ Athens</t>
  </si>
  <si>
    <t xml:space="preserve">United States of America @ Shellfish Pathology Laboratory @ Gloucester</t>
  </si>
  <si>
    <t xml:space="preserve">United States of America @ Southeast Poultry Research Laboratory (SEPRL) @ Athens</t>
  </si>
  <si>
    <t xml:space="preserve">United States of America @ The Center for Animal Disease Modeling and Surveillance (CADMS), UC Davis</t>
  </si>
  <si>
    <t xml:space="preserve">United States of America @ USDA, APHIS, Veterinary Services</t>
  </si>
  <si>
    <t xml:space="preserve">United States of America @ USDA-ARS Bee Research Laboratory, Beltsville, Maryland @ Maryland</t>
  </si>
  <si>
    <t xml:space="preserve">United States of America @ USGS,Western Fisheries Research Center, WA @ Ohio</t>
  </si>
  <si>
    <t xml:space="preserve">United States of America @ University of Nebraska Veterinary Diagnostic Laboratory</t>
  </si>
  <si>
    <t xml:space="preserve">United States of America @ Virginia, Harrisonburg Laboratory @ Virginia</t>
  </si>
  <si>
    <t xml:space="preserve">United States of America @ Western Fisheries Research Center @ Seattle</t>
  </si>
  <si>
    <t xml:space="preserve">United States of America @ Wildlife Conservation Society @ New York</t>
  </si>
  <si>
    <t xml:space="preserve">United States of America @ William Hinton State Laboratory Institute @ Massachusetts</t>
  </si>
  <si>
    <t xml:space="preserve">Uruguay @ DILAVE</t>
  </si>
  <si>
    <t xml:space="preserve">Uruguay @ División de Laboratorios Veterinarios "Miguel C. Rubino"</t>
  </si>
  <si>
    <t xml:space="preserve">Venezuela (Bolivarian Republic of) @ Arbovirus Laboratory INIA (National Institute for Agricultural Research) (National Laboratory)</t>
  </si>
  <si>
    <t xml:space="preserve">Viet Nam @ Hanoi Agriculture University @ Hanoi</t>
  </si>
  <si>
    <t xml:space="preserve">Viet Nam @ National Center for Veterinary Diagnosis @ Hanoi</t>
  </si>
  <si>
    <t xml:space="preserve">Viet Nam @ National Centre for Veterinary Diagnosis</t>
  </si>
  <si>
    <t xml:space="preserve">Viet Nam @ National Institut of hygiene and Epidemiology (NIHE)</t>
  </si>
  <si>
    <t xml:space="preserve">Viet Nam @ National Institute for Hygiene and Epidemiology (NIHE) @ Hanoi</t>
  </si>
  <si>
    <t xml:space="preserve">Viet Nam @ National Institute for Veterinary Research</t>
  </si>
  <si>
    <t xml:space="preserve">Viet Nam @ National Institute of Veterinary Research @ Hanoi</t>
  </si>
  <si>
    <t xml:space="preserve">Viet Nam @ Pasteur Institute Ho Chi Minh City (PI-HCMC) @ Ho-Chi-Minh</t>
  </si>
  <si>
    <t xml:space="preserve">Viet Nam @ Region VI Animal Health Office</t>
  </si>
  <si>
    <t xml:space="preserve">Viet Nam @ Regional Animal Health Centre @ Ho Chi Minh City</t>
  </si>
  <si>
    <t xml:space="preserve">Viet Nam @ Regional Animal Health Office No. 1</t>
  </si>
  <si>
    <t xml:space="preserve">Viet Nam @ Regional Animal Health Office No. 2</t>
  </si>
  <si>
    <t xml:space="preserve">Viet Nam @ Regional Animal Health Office No. 3</t>
  </si>
  <si>
    <t xml:space="preserve">Viet Nam @ Regional Animal Health Office No. 4</t>
  </si>
  <si>
    <t xml:space="preserve">Viet Nam @ Regional Animal Health Office No. 5</t>
  </si>
  <si>
    <t xml:space="preserve">Viet Nam @ Regional Animal Health Office No. 6</t>
  </si>
  <si>
    <t xml:space="preserve">Viet Nam @ Regional Animal Health Office No. 7</t>
  </si>
  <si>
    <t xml:space="preserve">Viet Nam @ Regional Animal Health Office Number 6 @ Ho Chi Minh</t>
  </si>
  <si>
    <t xml:space="preserve">Viet Nam @ Veterinary Research laboratory @ Hanoi</t>
  </si>
  <si>
    <t xml:space="preserve">Zambia @ Central Veterinary Laboratory, Lusaka @ Lusaka</t>
  </si>
  <si>
    <t xml:space="preserve">Zambia @ Mongu regional laboratory</t>
  </si>
  <si>
    <t xml:space="preserve">Zimbabwe @ Central Veterinary Laboratory, Harare, Zimbabwe @ Harare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</si>
</sst>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0"/>
    </font>
    <font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6FA8DC"/>
        <bgColor rgb="FF729FCF"/>
      </patternFill>
    </fill>
    <fill>
      <patternFill patternType="solid">
        <fgColor rgb="FF77BC65"/>
        <bgColor rgb="FF729FCF"/>
      </patternFill>
    </fill>
    <fill>
      <patternFill patternType="solid">
        <fgColor rgb="FFBF819E"/>
        <bgColor rgb="FFFF8080"/>
      </patternFill>
    </fill>
    <fill>
      <patternFill patternType="solid">
        <fgColor rgb="FF729FCF"/>
        <bgColor rgb="FF6FA8DC"/>
      </patternFill>
    </fill>
    <fill>
      <patternFill patternType="solid">
        <fgColor rgb="FFD6E3BC"/>
        <bgColor rgb="FFB6DDE8"/>
      </patternFill>
    </fill>
    <fill>
      <patternFill patternType="solid">
        <fgColor rgb="FFCCC0D9"/>
        <bgColor rgb="FFBFBFBF"/>
      </patternFill>
    </fill>
    <fill>
      <patternFill patternType="solid">
        <fgColor rgb="FFB6DDE8"/>
        <bgColor rgb="FFD6E3BC"/>
      </patternFill>
    </fill>
    <fill>
      <patternFill patternType="solid">
        <fgColor rgb="FFBFBFBF"/>
        <bgColor rgb="FFCCC0D9"/>
      </patternFill>
    </fill>
    <fill>
      <patternFill patternType="solid">
        <fgColor rgb="FF366092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 diagonalUp="false" diagonalDown="false">
      <left/>
      <right style="thin">
        <color rgb="FF7F7F7F"/>
      </right>
      <top/>
      <bottom style="thin">
        <color rgb="FF7F7F7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FA8DC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729FCF"/>
      <rgbColor rgb="FF993366"/>
      <rgbColor rgb="FFFFFFCC"/>
      <rgbColor rgb="FFCCFFFF"/>
      <rgbColor rgb="FF660066"/>
      <rgbColor rgb="FFFF8080"/>
      <rgbColor rgb="FF0066CC"/>
      <rgbColor rgb="FFCCC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3BC"/>
      <rgbColor rgb="FFFFFF99"/>
      <rgbColor rgb="FFB6DDE8"/>
      <rgbColor rgb="FFFF99CC"/>
      <rgbColor rgb="FFCC99FF"/>
      <rgbColor rgb="FFFFCC99"/>
      <rgbColor rgb="FF3366FF"/>
      <rgbColor rgb="FF6FA8DC"/>
      <rgbColor rgb="FF77BC65"/>
      <rgbColor rgb="FFFFC000"/>
      <rgbColor rgb="FFFF9900"/>
      <rgbColor rgb="FFFF6600"/>
      <rgbColor rgb="FF366092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70.88"/>
    <col collapsed="false" customWidth="true" hidden="false" outlineLevel="0" max="2" min="2" style="1" width="22.33"/>
    <col collapsed="false" customWidth="true" hidden="false" outlineLevel="0" max="4" min="4" style="1" width="56.56"/>
    <col collapsed="false" customWidth="true" hidden="false" outlineLevel="0" max="5" min="5" style="1" width="11.33"/>
    <col collapsed="false" customWidth="true" hidden="false" outlineLevel="0" max="6" min="6" style="1" width="29.66"/>
  </cols>
  <sheetData>
    <row r="1" customFormat="false" ht="14.25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customFormat="false" ht="14.25" hidden="false" customHeight="true" outlineLevel="0" collapsed="false">
      <c r="A2" s="7" t="s">
        <v>5</v>
      </c>
      <c r="B2" s="7" t="s">
        <v>6</v>
      </c>
      <c r="C2" s="7"/>
      <c r="D2" s="7"/>
      <c r="E2" s="7"/>
    </row>
    <row r="3" customFormat="false" ht="14.25" hidden="false" customHeight="true" outlineLevel="0" collapsed="false">
      <c r="A3" s="7" t="s">
        <v>7</v>
      </c>
      <c r="B3" s="7" t="s">
        <v>8</v>
      </c>
      <c r="C3" s="7"/>
      <c r="D3" s="7"/>
      <c r="E3" s="7"/>
    </row>
    <row r="4" customFormat="false" ht="14.25" hidden="false" customHeight="true" outlineLevel="0" collapsed="false">
      <c r="A4" s="7" t="s">
        <v>9</v>
      </c>
      <c r="B4" s="7" t="s">
        <v>10</v>
      </c>
      <c r="C4" s="7"/>
      <c r="D4" s="7"/>
      <c r="E4" s="7"/>
    </row>
    <row r="5" customFormat="false" ht="14.25" hidden="false" customHeight="true" outlineLevel="0" collapsed="false">
      <c r="A5" s="7" t="s">
        <v>11</v>
      </c>
      <c r="B5" s="7" t="s">
        <v>12</v>
      </c>
      <c r="C5" s="7"/>
      <c r="D5" s="7"/>
      <c r="E5" s="7"/>
    </row>
    <row r="6" customFormat="false" ht="14.25" hidden="false" customHeight="true" outlineLevel="0" collapsed="false">
      <c r="A6" s="7" t="s">
        <v>13</v>
      </c>
      <c r="B6" s="7" t="s">
        <v>14</v>
      </c>
      <c r="C6" s="7"/>
      <c r="D6" s="7"/>
      <c r="E6" s="7"/>
    </row>
    <row r="7" customFormat="false" ht="14.25" hidden="false" customHeight="true" outlineLevel="0" collapsed="false">
      <c r="A7" s="7" t="s">
        <v>15</v>
      </c>
      <c r="B7" s="7" t="s">
        <v>16</v>
      </c>
      <c r="C7" s="7"/>
      <c r="D7" s="7"/>
      <c r="E7" s="7"/>
    </row>
    <row r="8" customFormat="false" ht="14.25" hidden="false" customHeight="true" outlineLevel="0" collapsed="false">
      <c r="A8" s="7" t="s">
        <v>17</v>
      </c>
      <c r="B8" s="7" t="s">
        <v>18</v>
      </c>
      <c r="C8" s="7"/>
      <c r="D8" s="7"/>
      <c r="E8" s="7"/>
    </row>
    <row r="9" customFormat="false" ht="14.25" hidden="false" customHeight="true" outlineLevel="0" collapsed="false">
      <c r="A9" s="7" t="s">
        <v>19</v>
      </c>
      <c r="B9" s="7" t="s">
        <v>20</v>
      </c>
      <c r="C9" s="7"/>
      <c r="D9" s="7"/>
      <c r="E9" s="7"/>
    </row>
    <row r="10" customFormat="false" ht="14.25" hidden="false" customHeight="true" outlineLevel="0" collapsed="false">
      <c r="A10" s="7" t="s">
        <v>21</v>
      </c>
      <c r="B10" s="7" t="s">
        <v>22</v>
      </c>
      <c r="C10" s="7"/>
      <c r="D10" s="7"/>
      <c r="E10" s="7"/>
    </row>
    <row r="11" customFormat="false" ht="14.25" hidden="false" customHeight="true" outlineLevel="0" collapsed="false">
      <c r="A11" s="7" t="s">
        <v>23</v>
      </c>
      <c r="B11" s="7" t="s">
        <v>24</v>
      </c>
      <c r="C11" s="7"/>
      <c r="D11" s="7"/>
      <c r="E11" s="7"/>
    </row>
    <row r="12" customFormat="false" ht="14.25" hidden="false" customHeight="true" outlineLevel="0" collapsed="false">
      <c r="A12" s="7" t="s">
        <v>25</v>
      </c>
      <c r="B12" s="7" t="s">
        <v>26</v>
      </c>
      <c r="C12" s="7" t="s">
        <v>27</v>
      </c>
      <c r="D12" s="7"/>
      <c r="E12" s="7"/>
    </row>
    <row r="13" customFormat="false" ht="14.25" hidden="false" customHeight="true" outlineLevel="0" collapsed="false">
      <c r="A13" s="8" t="s">
        <v>28</v>
      </c>
      <c r="B13" s="8" t="s">
        <v>29</v>
      </c>
      <c r="C13" s="8" t="s">
        <v>30</v>
      </c>
      <c r="D13" s="7" t="s">
        <v>31</v>
      </c>
      <c r="E13" s="7"/>
    </row>
    <row r="14" customFormat="false" ht="14.25" hidden="false" customHeight="true" outlineLevel="0" collapsed="false">
      <c r="A14" s="9" t="s">
        <v>32</v>
      </c>
      <c r="B14" s="9" t="s">
        <v>29</v>
      </c>
      <c r="C14" s="9" t="s">
        <v>30</v>
      </c>
      <c r="D14" s="7" t="s">
        <v>33</v>
      </c>
      <c r="E14" s="7"/>
    </row>
    <row r="15" customFormat="false" ht="14.25" hidden="false" customHeight="true" outlineLevel="0" collapsed="false">
      <c r="A15" s="10" t="s">
        <v>34</v>
      </c>
      <c r="B15" s="10" t="s">
        <v>29</v>
      </c>
      <c r="C15" s="10" t="s">
        <v>30</v>
      </c>
      <c r="D15" s="7" t="s">
        <v>35</v>
      </c>
      <c r="E15" s="7"/>
    </row>
    <row r="16" customFormat="false" ht="15" hidden="false" customHeight="false" outlineLevel="0" collapsed="false">
      <c r="A16" s="1" t="s">
        <v>36</v>
      </c>
      <c r="D16" s="11" t="s">
        <v>37</v>
      </c>
    </row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15.88"/>
    <col collapsed="false" customWidth="true" hidden="false" outlineLevel="0" max="3" min="2" style="1" width="12.88"/>
  </cols>
  <sheetData>
    <row r="1" s="12" customFormat="true" ht="14.25" hidden="false" customHeight="false" outlineLevel="0" collapsed="false">
      <c r="A1" s="12" t="s">
        <v>38</v>
      </c>
      <c r="B1" s="12" t="s">
        <v>39</v>
      </c>
      <c r="C1" s="12" t="s">
        <v>40</v>
      </c>
    </row>
    <row r="2" customFormat="false" ht="14.25" hidden="false" customHeight="false" outlineLevel="0" collapsed="false">
      <c r="A2" s="7" t="s">
        <v>9</v>
      </c>
      <c r="B2" s="7" t="s">
        <v>10</v>
      </c>
      <c r="C2" s="7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" activeCellId="0" sqref="E4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33.56"/>
    <col collapsed="false" customWidth="true" hidden="false" outlineLevel="0" max="2" min="2" style="1" width="19.44"/>
    <col collapsed="false" customWidth="true" hidden="false" outlineLevel="0" max="3" min="3" style="1" width="19"/>
    <col collapsed="false" customWidth="true" hidden="false" outlineLevel="0" max="26" min="4" style="1" width="14.56"/>
  </cols>
  <sheetData>
    <row r="1" customFormat="false" ht="14.25" hidden="false" customHeight="true" outlineLevel="0" collapsed="false">
      <c r="A1" s="13" t="s">
        <v>0</v>
      </c>
      <c r="B1" s="14" t="s">
        <v>1</v>
      </c>
      <c r="C1" s="13" t="s">
        <v>42</v>
      </c>
      <c r="D1" s="14" t="s">
        <v>43</v>
      </c>
      <c r="E1" s="14" t="s">
        <v>44</v>
      </c>
      <c r="F1" s="15" t="s">
        <v>45</v>
      </c>
    </row>
    <row r="2" customFormat="false" ht="14.25" hidden="false" customHeight="true" outlineLevel="0" collapsed="false">
      <c r="A2" s="16" t="s">
        <v>34</v>
      </c>
      <c r="B2" s="10" t="s">
        <v>29</v>
      </c>
      <c r="C2" s="17" t="str">
        <f aca="false">D2</f>
        <v>Sensible</v>
      </c>
      <c r="D2" s="17" t="str">
        <f aca="false">VLOOKUP(F2,Feuil4!A:C,3,FALSE())</f>
        <v>Sensible</v>
      </c>
      <c r="E2" s="17" t="s">
        <v>46</v>
      </c>
      <c r="F2" s="17" t="s">
        <v>47</v>
      </c>
    </row>
    <row r="3" customFormat="false" ht="14.25" hidden="false" customHeight="true" outlineLevel="0" collapsed="false">
      <c r="A3" s="16" t="s">
        <v>34</v>
      </c>
      <c r="B3" s="10" t="s">
        <v>29</v>
      </c>
      <c r="C3" s="17" t="str">
        <f aca="false">D3</f>
        <v>Résistant</v>
      </c>
      <c r="D3" s="17" t="str">
        <f aca="false">VLOOKUP(F3,Feuil4!A:C,3,FALSE())</f>
        <v>Résistant</v>
      </c>
      <c r="E3" s="17" t="s">
        <v>48</v>
      </c>
      <c r="F3" s="17" t="s">
        <v>49</v>
      </c>
    </row>
    <row r="4" customFormat="false" ht="14.25" hidden="false" customHeight="true" outlineLevel="0" collapsed="false">
      <c r="A4" s="16" t="s">
        <v>34</v>
      </c>
      <c r="B4" s="10" t="s">
        <v>29</v>
      </c>
      <c r="C4" s="17" t="str">
        <f aca="false">D4</f>
        <v>Non effectué</v>
      </c>
      <c r="D4" s="17" t="str">
        <f aca="false">VLOOKUP(F4,Feuil4!A:C,3,FALSE())</f>
        <v>Non effectué</v>
      </c>
      <c r="E4" s="17" t="s">
        <v>50</v>
      </c>
      <c r="F4" s="17" t="s">
        <v>51</v>
      </c>
    </row>
    <row r="5" customFormat="false" ht="14.25" hidden="false" customHeight="true" outlineLevel="0" collapsed="false">
      <c r="A5" s="16" t="s">
        <v>34</v>
      </c>
      <c r="B5" s="10" t="s">
        <v>29</v>
      </c>
      <c r="C5" s="17" t="str">
        <f aca="false">D5</f>
        <v>Intermédiaire</v>
      </c>
      <c r="D5" s="17" t="str">
        <f aca="false">VLOOKUP(F5,Feuil4!A:C,3,FALSE())</f>
        <v>Intermédiaire</v>
      </c>
      <c r="E5" s="17" t="s">
        <v>52</v>
      </c>
      <c r="F5" s="17" t="s">
        <v>53</v>
      </c>
    </row>
    <row r="6" customFormat="false" ht="15" hidden="false" customHeight="true" outlineLevel="0" collapsed="false">
      <c r="A6" s="7" t="s">
        <v>19</v>
      </c>
      <c r="B6" s="7" t="s">
        <v>20</v>
      </c>
      <c r="C6" s="17" t="str">
        <f aca="false">D6</f>
        <v>Masculin</v>
      </c>
      <c r="D6" s="14" t="s">
        <v>54</v>
      </c>
      <c r="E6" s="14" t="s">
        <v>55</v>
      </c>
      <c r="F6" s="15" t="s">
        <v>56</v>
      </c>
    </row>
    <row r="7" customFormat="false" ht="15" hidden="false" customHeight="false" outlineLevel="0" collapsed="false">
      <c r="A7" s="7" t="s">
        <v>19</v>
      </c>
      <c r="B7" s="7" t="s">
        <v>20</v>
      </c>
      <c r="C7" s="17" t="str">
        <f aca="false">D7</f>
        <v>Féminin</v>
      </c>
      <c r="D7" s="14" t="s">
        <v>57</v>
      </c>
      <c r="E7" s="14" t="s">
        <v>58</v>
      </c>
      <c r="F7" s="15" t="s">
        <v>59</v>
      </c>
    </row>
    <row r="8" customFormat="false" ht="14.25" hidden="false" customHeight="true" outlineLevel="0" collapsed="false">
      <c r="A8" s="16" t="s">
        <v>60</v>
      </c>
      <c r="B8" s="10" t="s">
        <v>29</v>
      </c>
      <c r="C8" s="17" t="str">
        <f aca="false">D8</f>
        <v>Non effectué</v>
      </c>
      <c r="D8" s="17" t="str">
        <f aca="false">VLOOKUP(F8,Feuil4!A:C,3,FALSE())</f>
        <v>Non effectué</v>
      </c>
      <c r="E8" s="17" t="s">
        <v>50</v>
      </c>
      <c r="F8" s="17" t="s">
        <v>51</v>
      </c>
    </row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F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7"/>
  <sheetViews>
    <sheetView showFormulas="false" showGridLines="true" showRowColHeaders="true" showZeros="true" rightToLeft="false" tabSelected="false" showOutlineSymbols="true" defaultGridColor="true" view="normal" topLeftCell="A89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14.33"/>
    <col collapsed="false" customWidth="true" hidden="false" outlineLevel="0" max="2" min="2" style="1" width="30.11"/>
    <col collapsed="false" customWidth="true" hidden="false" outlineLevel="0" max="3" min="3" style="1" width="35.44"/>
  </cols>
  <sheetData>
    <row r="1" s="12" customFormat="true" ht="14.25" hidden="false" customHeight="false" outlineLevel="0" collapsed="false">
      <c r="A1" s="12" t="s">
        <v>61</v>
      </c>
      <c r="B1" s="12" t="s">
        <v>62</v>
      </c>
      <c r="C1" s="12" t="s">
        <v>63</v>
      </c>
    </row>
    <row r="2" customFormat="false" ht="14.25" hidden="false" customHeight="false" outlineLevel="0" collapsed="false">
      <c r="A2" s="1" t="s">
        <v>64</v>
      </c>
      <c r="B2" s="1" t="n">
        <v>1</v>
      </c>
      <c r="C2" s="1" t="n">
        <v>1</v>
      </c>
    </row>
    <row r="3" customFormat="false" ht="14.25" hidden="false" customHeight="false" outlineLevel="0" collapsed="false">
      <c r="A3" s="1" t="s">
        <v>65</v>
      </c>
      <c r="B3" s="1" t="s">
        <v>66</v>
      </c>
      <c r="C3" s="1" t="s">
        <v>66</v>
      </c>
    </row>
    <row r="4" customFormat="false" ht="14.25" hidden="false" customHeight="false" outlineLevel="0" collapsed="false">
      <c r="A4" s="1" t="s">
        <v>67</v>
      </c>
      <c r="B4" s="1" t="s">
        <v>68</v>
      </c>
      <c r="C4" s="1" t="s">
        <v>68</v>
      </c>
    </row>
    <row r="5" customFormat="false" ht="14.25" hidden="false" customHeight="false" outlineLevel="0" collapsed="false">
      <c r="A5" s="1" t="s">
        <v>69</v>
      </c>
      <c r="B5" s="1" t="s">
        <v>70</v>
      </c>
      <c r="C5" s="1" t="s">
        <v>70</v>
      </c>
    </row>
    <row r="6" customFormat="false" ht="14.25" hidden="false" customHeight="false" outlineLevel="0" collapsed="false">
      <c r="A6" s="1" t="s">
        <v>71</v>
      </c>
      <c r="B6" s="1" t="s">
        <v>72</v>
      </c>
      <c r="C6" s="1" t="s">
        <v>72</v>
      </c>
    </row>
    <row r="7" customFormat="false" ht="14.25" hidden="false" customHeight="false" outlineLevel="0" collapsed="false">
      <c r="A7" s="1" t="s">
        <v>73</v>
      </c>
      <c r="B7" s="1" t="s">
        <v>74</v>
      </c>
      <c r="C7" s="1" t="s">
        <v>74</v>
      </c>
    </row>
    <row r="8" customFormat="false" ht="14.25" hidden="false" customHeight="false" outlineLevel="0" collapsed="false">
      <c r="A8" s="1" t="s">
        <v>75</v>
      </c>
      <c r="B8" s="1" t="s">
        <v>76</v>
      </c>
      <c r="C8" s="1" t="s">
        <v>76</v>
      </c>
    </row>
    <row r="9" customFormat="false" ht="14.25" hidden="false" customHeight="false" outlineLevel="0" collapsed="false">
      <c r="A9" s="1" t="s">
        <v>77</v>
      </c>
      <c r="B9" s="1" t="s">
        <v>78</v>
      </c>
      <c r="C9" s="1" t="s">
        <v>78</v>
      </c>
    </row>
    <row r="10" customFormat="false" ht="14.25" hidden="false" customHeight="false" outlineLevel="0" collapsed="false">
      <c r="A10" s="1" t="s">
        <v>79</v>
      </c>
      <c r="B10" s="1" t="n">
        <v>13</v>
      </c>
      <c r="C10" s="1" t="n">
        <v>13</v>
      </c>
    </row>
    <row r="11" customFormat="false" ht="14.25" hidden="false" customHeight="false" outlineLevel="0" collapsed="false">
      <c r="A11" s="1" t="s">
        <v>80</v>
      </c>
      <c r="B11" s="1" t="n">
        <v>14</v>
      </c>
      <c r="C11" s="1" t="n">
        <v>14</v>
      </c>
    </row>
    <row r="12" customFormat="false" ht="14.25" hidden="false" customHeight="false" outlineLevel="0" collapsed="false">
      <c r="A12" s="1" t="s">
        <v>81</v>
      </c>
      <c r="B12" s="1" t="s">
        <v>82</v>
      </c>
      <c r="C12" s="1" t="s">
        <v>82</v>
      </c>
    </row>
    <row r="13" customFormat="false" ht="14.25" hidden="false" customHeight="false" outlineLevel="0" collapsed="false">
      <c r="A13" s="1" t="s">
        <v>83</v>
      </c>
      <c r="B13" s="1" t="s">
        <v>84</v>
      </c>
      <c r="C13" s="1" t="s">
        <v>84</v>
      </c>
    </row>
    <row r="14" customFormat="false" ht="14.25" hidden="false" customHeight="false" outlineLevel="0" collapsed="false">
      <c r="A14" s="1" t="s">
        <v>85</v>
      </c>
      <c r="B14" s="1" t="s">
        <v>86</v>
      </c>
      <c r="C14" s="1" t="s">
        <v>86</v>
      </c>
    </row>
    <row r="15" customFormat="false" ht="14.25" hidden="false" customHeight="false" outlineLevel="0" collapsed="false">
      <c r="A15" s="1" t="s">
        <v>87</v>
      </c>
      <c r="B15" s="1" t="s">
        <v>88</v>
      </c>
      <c r="C15" s="1" t="s">
        <v>88</v>
      </c>
    </row>
    <row r="16" customFormat="false" ht="14.25" hidden="false" customHeight="false" outlineLevel="0" collapsed="false">
      <c r="A16" s="1" t="s">
        <v>89</v>
      </c>
      <c r="B16" s="1" t="s">
        <v>90</v>
      </c>
      <c r="C16" s="1" t="s">
        <v>90</v>
      </c>
    </row>
    <row r="17" customFormat="false" ht="14.25" hidden="false" customHeight="false" outlineLevel="0" collapsed="false">
      <c r="A17" s="1" t="s">
        <v>91</v>
      </c>
      <c r="B17" s="1" t="s">
        <v>92</v>
      </c>
      <c r="C17" s="1" t="s">
        <v>92</v>
      </c>
    </row>
    <row r="18" customFormat="false" ht="14.25" hidden="false" customHeight="false" outlineLevel="0" collapsed="false">
      <c r="A18" s="1" t="s">
        <v>93</v>
      </c>
      <c r="B18" s="1" t="s">
        <v>94</v>
      </c>
      <c r="C18" s="1" t="s">
        <v>94</v>
      </c>
    </row>
    <row r="19" customFormat="false" ht="14.25" hidden="false" customHeight="false" outlineLevel="0" collapsed="false">
      <c r="A19" s="1" t="s">
        <v>95</v>
      </c>
      <c r="B19" s="1" t="s">
        <v>96</v>
      </c>
      <c r="C19" s="1" t="s">
        <v>96</v>
      </c>
    </row>
    <row r="20" customFormat="false" ht="14.25" hidden="false" customHeight="false" outlineLevel="0" collapsed="false">
      <c r="A20" s="1" t="s">
        <v>97</v>
      </c>
      <c r="B20" s="1" t="s">
        <v>98</v>
      </c>
      <c r="C20" s="1" t="s">
        <v>98</v>
      </c>
    </row>
    <row r="21" customFormat="false" ht="14.25" hidden="false" customHeight="false" outlineLevel="0" collapsed="false">
      <c r="A21" s="1" t="s">
        <v>99</v>
      </c>
      <c r="B21" s="1" t="s">
        <v>100</v>
      </c>
      <c r="C21" s="1" t="s">
        <v>100</v>
      </c>
    </row>
    <row r="22" customFormat="false" ht="14.25" hidden="false" customHeight="false" outlineLevel="0" collapsed="false">
      <c r="A22" s="1" t="s">
        <v>101</v>
      </c>
      <c r="B22" s="1" t="n">
        <v>2</v>
      </c>
      <c r="C22" s="1" t="n">
        <v>2</v>
      </c>
    </row>
    <row r="23" customFormat="false" ht="14.25" hidden="false" customHeight="false" outlineLevel="0" collapsed="false">
      <c r="A23" s="1" t="s">
        <v>102</v>
      </c>
      <c r="B23" s="1" t="n">
        <v>20</v>
      </c>
      <c r="C23" s="1" t="n">
        <v>20</v>
      </c>
    </row>
    <row r="24" customFormat="false" ht="14.25" hidden="false" customHeight="false" outlineLevel="0" collapsed="false">
      <c r="A24" s="1" t="s">
        <v>103</v>
      </c>
      <c r="B24" s="1" t="n">
        <v>21</v>
      </c>
      <c r="C24" s="1" t="n">
        <v>21</v>
      </c>
    </row>
    <row r="25" customFormat="false" ht="14.25" hidden="false" customHeight="false" outlineLevel="0" collapsed="false">
      <c r="A25" s="1" t="s">
        <v>104</v>
      </c>
      <c r="B25" s="1" t="s">
        <v>105</v>
      </c>
      <c r="C25" s="1" t="s">
        <v>105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107</v>
      </c>
    </row>
    <row r="27" customFormat="false" ht="14.25" hidden="false" customHeight="false" outlineLevel="0" collapsed="false">
      <c r="A27" s="1" t="s">
        <v>108</v>
      </c>
      <c r="B27" s="1" t="s">
        <v>109</v>
      </c>
      <c r="C27" s="1" t="s">
        <v>109</v>
      </c>
    </row>
    <row r="28" customFormat="false" ht="14.25" hidden="false" customHeight="false" outlineLevel="0" collapsed="false">
      <c r="A28" s="1" t="s">
        <v>110</v>
      </c>
      <c r="B28" s="1" t="s">
        <v>111</v>
      </c>
      <c r="C28" s="1" t="s">
        <v>111</v>
      </c>
    </row>
    <row r="29" customFormat="false" ht="14.25" hidden="false" customHeight="false" outlineLevel="0" collapsed="false">
      <c r="A29" s="1" t="s">
        <v>112</v>
      </c>
      <c r="B29" s="1" t="s">
        <v>113</v>
      </c>
      <c r="C29" s="1" t="s">
        <v>113</v>
      </c>
    </row>
    <row r="30" customFormat="false" ht="14.25" hidden="false" customHeight="false" outlineLevel="0" collapsed="false">
      <c r="A30" s="1" t="s">
        <v>114</v>
      </c>
      <c r="B30" s="1" t="s">
        <v>115</v>
      </c>
      <c r="C30" s="1" t="s">
        <v>115</v>
      </c>
    </row>
    <row r="31" customFormat="false" ht="14.25" hidden="false" customHeight="false" outlineLevel="0" collapsed="false">
      <c r="A31" s="1" t="s">
        <v>116</v>
      </c>
      <c r="B31" s="1" t="s">
        <v>117</v>
      </c>
      <c r="C31" s="1" t="s">
        <v>117</v>
      </c>
    </row>
    <row r="32" customFormat="false" ht="14.25" hidden="false" customHeight="false" outlineLevel="0" collapsed="false">
      <c r="A32" s="1" t="s">
        <v>118</v>
      </c>
      <c r="B32" s="1" t="n">
        <v>3</v>
      </c>
      <c r="C32" s="1" t="n">
        <v>3</v>
      </c>
    </row>
    <row r="33" customFormat="false" ht="14.25" hidden="false" customHeight="false" outlineLevel="0" collapsed="false">
      <c r="A33" s="1" t="s">
        <v>119</v>
      </c>
      <c r="B33" s="1" t="n">
        <v>31</v>
      </c>
      <c r="C33" s="1" t="n">
        <v>31</v>
      </c>
    </row>
    <row r="34" customFormat="false" ht="14.25" hidden="false" customHeight="false" outlineLevel="0" collapsed="false">
      <c r="A34" s="1" t="s">
        <v>120</v>
      </c>
      <c r="B34" s="1" t="s">
        <v>121</v>
      </c>
      <c r="C34" s="1" t="s">
        <v>121</v>
      </c>
    </row>
    <row r="35" customFormat="false" ht="14.25" hidden="false" customHeight="false" outlineLevel="0" collapsed="false">
      <c r="A35" s="1" t="s">
        <v>122</v>
      </c>
      <c r="B35" s="1" t="s">
        <v>123</v>
      </c>
      <c r="C35" s="1" t="s">
        <v>123</v>
      </c>
    </row>
    <row r="36" customFormat="false" ht="14.25" hidden="false" customHeight="false" outlineLevel="0" collapsed="false">
      <c r="A36" s="1" t="s">
        <v>124</v>
      </c>
      <c r="B36" s="1" t="n">
        <v>34</v>
      </c>
      <c r="C36" s="1" t="n">
        <v>34</v>
      </c>
    </row>
    <row r="37" customFormat="false" ht="14.25" hidden="false" customHeight="false" outlineLevel="0" collapsed="false">
      <c r="A37" s="1" t="s">
        <v>125</v>
      </c>
      <c r="B37" s="1" t="s">
        <v>126</v>
      </c>
      <c r="C37" s="1" t="s">
        <v>126</v>
      </c>
    </row>
    <row r="38" customFormat="false" ht="14.25" hidden="false" customHeight="false" outlineLevel="0" collapsed="false">
      <c r="A38" s="1" t="s">
        <v>127</v>
      </c>
      <c r="B38" s="1" t="s">
        <v>128</v>
      </c>
      <c r="C38" s="1" t="s">
        <v>128</v>
      </c>
    </row>
    <row r="39" customFormat="false" ht="14.25" hidden="false" customHeight="false" outlineLevel="0" collapsed="false">
      <c r="A39" s="1" t="s">
        <v>129</v>
      </c>
      <c r="B39" s="1" t="s">
        <v>130</v>
      </c>
      <c r="C39" s="1" t="s">
        <v>130</v>
      </c>
    </row>
    <row r="40" customFormat="false" ht="14.25" hidden="false" customHeight="false" outlineLevel="0" collapsed="false">
      <c r="A40" s="1" t="s">
        <v>131</v>
      </c>
      <c r="B40" s="1" t="n">
        <v>38</v>
      </c>
      <c r="C40" s="1" t="n">
        <v>38</v>
      </c>
    </row>
    <row r="41" customFormat="false" ht="14.25" hidden="false" customHeight="false" outlineLevel="0" collapsed="false">
      <c r="A41" s="1" t="s">
        <v>132</v>
      </c>
      <c r="B41" s="1" t="n">
        <v>39</v>
      </c>
      <c r="C41" s="1" t="n">
        <v>39</v>
      </c>
    </row>
    <row r="42" customFormat="false" ht="14.25" hidden="false" customHeight="false" outlineLevel="0" collapsed="false">
      <c r="A42" s="1" t="s">
        <v>133</v>
      </c>
      <c r="B42" s="1" t="n">
        <v>4</v>
      </c>
      <c r="C42" s="1" t="n">
        <v>4</v>
      </c>
    </row>
    <row r="43" customFormat="false" ht="14.25" hidden="false" customHeight="false" outlineLevel="0" collapsed="false">
      <c r="A43" s="1" t="s">
        <v>134</v>
      </c>
      <c r="B43" s="1" t="n">
        <v>45</v>
      </c>
      <c r="C43" s="1" t="n">
        <v>45</v>
      </c>
    </row>
    <row r="44" customFormat="false" ht="14.25" hidden="false" customHeight="false" outlineLevel="0" collapsed="false">
      <c r="A44" s="1" t="s">
        <v>135</v>
      </c>
      <c r="B44" s="1" t="n">
        <v>46</v>
      </c>
      <c r="C44" s="1" t="n">
        <v>46</v>
      </c>
    </row>
    <row r="45" customFormat="false" ht="14.25" hidden="false" customHeight="false" outlineLevel="0" collapsed="false">
      <c r="A45" s="1" t="s">
        <v>136</v>
      </c>
      <c r="B45" s="1" t="n">
        <v>5</v>
      </c>
      <c r="C45" s="1" t="n">
        <v>5</v>
      </c>
    </row>
    <row r="46" customFormat="false" ht="14.25" hidden="false" customHeight="false" outlineLevel="0" collapsed="false">
      <c r="A46" s="1" t="s">
        <v>137</v>
      </c>
      <c r="B46" s="1" t="s">
        <v>138</v>
      </c>
      <c r="C46" s="1" t="s">
        <v>138</v>
      </c>
    </row>
    <row r="47" customFormat="false" ht="14.25" hidden="false" customHeight="false" outlineLevel="0" collapsed="false">
      <c r="A47" s="1" t="s">
        <v>139</v>
      </c>
      <c r="B47" s="1" t="s">
        <v>140</v>
      </c>
      <c r="C47" s="1" t="s">
        <v>140</v>
      </c>
    </row>
    <row r="48" customFormat="false" ht="14.25" hidden="false" customHeight="false" outlineLevel="0" collapsed="false">
      <c r="A48" s="1" t="s">
        <v>141</v>
      </c>
      <c r="B48" s="1" t="s">
        <v>142</v>
      </c>
      <c r="C48" s="1" t="s">
        <v>143</v>
      </c>
    </row>
    <row r="49" customFormat="false" ht="14.25" hidden="false" customHeight="false" outlineLevel="0" collapsed="false">
      <c r="A49" s="1" t="s">
        <v>144</v>
      </c>
      <c r="B49" s="1" t="s">
        <v>145</v>
      </c>
      <c r="C49" s="1" t="s">
        <v>145</v>
      </c>
    </row>
    <row r="50" customFormat="false" ht="14.25" hidden="false" customHeight="false" outlineLevel="0" collapsed="false">
      <c r="A50" s="1" t="s">
        <v>146</v>
      </c>
      <c r="B50" s="1" t="s">
        <v>147</v>
      </c>
      <c r="C50" s="1" t="s">
        <v>147</v>
      </c>
    </row>
    <row r="51" customFormat="false" ht="14.25" hidden="false" customHeight="false" outlineLevel="0" collapsed="false">
      <c r="A51" s="1" t="s">
        <v>148</v>
      </c>
      <c r="B51" s="1" t="s">
        <v>149</v>
      </c>
      <c r="C51" s="1" t="s">
        <v>149</v>
      </c>
    </row>
    <row r="52" customFormat="false" ht="14.25" hidden="false" customHeight="false" outlineLevel="0" collapsed="false">
      <c r="A52" s="1" t="s">
        <v>150</v>
      </c>
      <c r="B52" s="1" t="s">
        <v>151</v>
      </c>
      <c r="C52" s="1" t="s">
        <v>151</v>
      </c>
    </row>
    <row r="53" customFormat="false" ht="14.25" hidden="false" customHeight="false" outlineLevel="0" collapsed="false">
      <c r="A53" s="1" t="s">
        <v>152</v>
      </c>
      <c r="B53" s="1" t="s">
        <v>153</v>
      </c>
      <c r="C53" s="1" t="s">
        <v>153</v>
      </c>
    </row>
    <row r="54" customFormat="false" ht="14.25" hidden="false" customHeight="false" outlineLevel="0" collapsed="false">
      <c r="A54" s="1" t="s">
        <v>154</v>
      </c>
      <c r="B54" s="1" t="n">
        <v>8</v>
      </c>
      <c r="C54" s="1" t="n">
        <v>8</v>
      </c>
    </row>
    <row r="55" customFormat="false" ht="14.25" hidden="false" customHeight="false" outlineLevel="0" collapsed="false">
      <c r="A55" s="1" t="s">
        <v>155</v>
      </c>
      <c r="B55" s="1" t="s">
        <v>156</v>
      </c>
      <c r="C55" s="1" t="s">
        <v>156</v>
      </c>
    </row>
    <row r="56" customFormat="false" ht="14.25" hidden="false" customHeight="false" outlineLevel="0" collapsed="false">
      <c r="A56" s="1" t="s">
        <v>157</v>
      </c>
      <c r="B56" s="1" t="s">
        <v>158</v>
      </c>
      <c r="C56" s="1" t="s">
        <v>158</v>
      </c>
    </row>
    <row r="57" customFormat="false" ht="14.25" hidden="false" customHeight="false" outlineLevel="0" collapsed="false">
      <c r="A57" s="1" t="s">
        <v>159</v>
      </c>
      <c r="B57" s="1" t="s">
        <v>160</v>
      </c>
      <c r="C57" s="1" t="s">
        <v>160</v>
      </c>
    </row>
    <row r="58" customFormat="false" ht="14.25" hidden="false" customHeight="false" outlineLevel="0" collapsed="false">
      <c r="A58" s="1" t="s">
        <v>161</v>
      </c>
      <c r="B58" s="1" t="s">
        <v>162</v>
      </c>
      <c r="C58" s="1" t="s">
        <v>162</v>
      </c>
    </row>
    <row r="59" customFormat="false" ht="14.25" hidden="false" customHeight="false" outlineLevel="0" collapsed="false">
      <c r="A59" s="1" t="s">
        <v>163</v>
      </c>
      <c r="B59" s="1" t="s">
        <v>164</v>
      </c>
      <c r="C59" s="1" t="s">
        <v>164</v>
      </c>
    </row>
    <row r="60" customFormat="false" ht="14.25" hidden="false" customHeight="false" outlineLevel="0" collapsed="false">
      <c r="A60" s="1" t="s">
        <v>165</v>
      </c>
      <c r="B60" s="1" t="s">
        <v>166</v>
      </c>
      <c r="C60" s="1" t="s">
        <v>166</v>
      </c>
    </row>
    <row r="61" customFormat="false" ht="14.25" hidden="false" customHeight="false" outlineLevel="0" collapsed="false">
      <c r="A61" s="1" t="s">
        <v>167</v>
      </c>
      <c r="B61" s="1" t="s">
        <v>168</v>
      </c>
      <c r="C61" s="1" t="s">
        <v>169</v>
      </c>
    </row>
    <row r="62" customFormat="false" ht="14.25" hidden="false" customHeight="false" outlineLevel="0" collapsed="false">
      <c r="A62" s="1" t="s">
        <v>170</v>
      </c>
      <c r="B62" s="1" t="s">
        <v>171</v>
      </c>
      <c r="C62" s="1" t="s">
        <v>172</v>
      </c>
    </row>
    <row r="63" customFormat="false" ht="14.25" hidden="false" customHeight="false" outlineLevel="0" collapsed="false">
      <c r="A63" s="1" t="s">
        <v>173</v>
      </c>
      <c r="B63" s="1" t="s">
        <v>174</v>
      </c>
      <c r="C63" s="1" t="s">
        <v>174</v>
      </c>
    </row>
    <row r="64" customFormat="false" ht="14.25" hidden="false" customHeight="false" outlineLevel="0" collapsed="false">
      <c r="A64" s="1" t="s">
        <v>175</v>
      </c>
      <c r="B64" s="1" t="s">
        <v>176</v>
      </c>
      <c r="C64" s="1" t="s">
        <v>176</v>
      </c>
    </row>
    <row r="65" customFormat="false" ht="14.25" hidden="false" customHeight="false" outlineLevel="0" collapsed="false">
      <c r="A65" s="1" t="s">
        <v>177</v>
      </c>
      <c r="B65" s="1" t="s">
        <v>178</v>
      </c>
      <c r="C65" s="1" t="s">
        <v>179</v>
      </c>
    </row>
    <row r="66" customFormat="false" ht="14.25" hidden="false" customHeight="false" outlineLevel="0" collapsed="false">
      <c r="A66" s="1" t="s">
        <v>180</v>
      </c>
      <c r="B66" s="1" t="s">
        <v>181</v>
      </c>
      <c r="C66" s="1" t="s">
        <v>182</v>
      </c>
    </row>
    <row r="67" customFormat="false" ht="14.25" hidden="false" customHeight="false" outlineLevel="0" collapsed="false">
      <c r="A67" s="1" t="s">
        <v>183</v>
      </c>
      <c r="B67" s="1" t="s">
        <v>184</v>
      </c>
      <c r="C67" s="1" t="s">
        <v>185</v>
      </c>
    </row>
    <row r="68" customFormat="false" ht="14.25" hidden="false" customHeight="false" outlineLevel="0" collapsed="false">
      <c r="A68" s="1" t="s">
        <v>186</v>
      </c>
      <c r="B68" s="1" t="s">
        <v>187</v>
      </c>
      <c r="C68" s="1" t="s">
        <v>188</v>
      </c>
    </row>
    <row r="69" customFormat="false" ht="14.25" hidden="false" customHeight="false" outlineLevel="0" collapsed="false">
      <c r="A69" s="1" t="s">
        <v>189</v>
      </c>
      <c r="B69" s="1" t="s">
        <v>190</v>
      </c>
      <c r="C69" s="1" t="s">
        <v>190</v>
      </c>
    </row>
    <row r="70" customFormat="false" ht="14.25" hidden="false" customHeight="false" outlineLevel="0" collapsed="false">
      <c r="A70" s="1" t="s">
        <v>191</v>
      </c>
      <c r="B70" s="1" t="s">
        <v>192</v>
      </c>
      <c r="C70" s="1" t="s">
        <v>192</v>
      </c>
    </row>
    <row r="71" customFormat="false" ht="14.25" hidden="false" customHeight="false" outlineLevel="0" collapsed="false">
      <c r="A71" s="1" t="s">
        <v>193</v>
      </c>
      <c r="B71" s="1" t="s">
        <v>194</v>
      </c>
      <c r="C71" s="1" t="s">
        <v>194</v>
      </c>
    </row>
    <row r="72" customFormat="false" ht="14.25" hidden="false" customHeight="false" outlineLevel="0" collapsed="false">
      <c r="A72" s="1" t="s">
        <v>195</v>
      </c>
      <c r="B72" s="1" t="s">
        <v>196</v>
      </c>
      <c r="C72" s="1" t="s">
        <v>196</v>
      </c>
    </row>
    <row r="73" customFormat="false" ht="14.25" hidden="false" customHeight="false" outlineLevel="0" collapsed="false">
      <c r="A73" s="1" t="s">
        <v>197</v>
      </c>
      <c r="B73" s="1" t="s">
        <v>198</v>
      </c>
      <c r="C73" s="1" t="s">
        <v>198</v>
      </c>
    </row>
    <row r="74" customFormat="false" ht="14.25" hidden="false" customHeight="false" outlineLevel="0" collapsed="false">
      <c r="A74" s="1" t="s">
        <v>199</v>
      </c>
      <c r="B74" s="1" t="s">
        <v>200</v>
      </c>
      <c r="C74" s="1" t="s">
        <v>200</v>
      </c>
    </row>
    <row r="75" customFormat="false" ht="14.25" hidden="false" customHeight="false" outlineLevel="0" collapsed="false">
      <c r="A75" s="1" t="s">
        <v>201</v>
      </c>
      <c r="B75" s="1" t="s">
        <v>202</v>
      </c>
      <c r="C75" s="1" t="s">
        <v>202</v>
      </c>
    </row>
    <row r="76" customFormat="false" ht="14.25" hidden="false" customHeight="false" outlineLevel="0" collapsed="false">
      <c r="A76" s="1" t="s">
        <v>203</v>
      </c>
      <c r="B76" s="1" t="s">
        <v>204</v>
      </c>
      <c r="C76" s="1" t="s">
        <v>204</v>
      </c>
    </row>
    <row r="77" customFormat="false" ht="14.25" hidden="false" customHeight="false" outlineLevel="0" collapsed="false">
      <c r="A77" s="1" t="s">
        <v>205</v>
      </c>
      <c r="B77" s="1" t="s">
        <v>206</v>
      </c>
      <c r="C77" s="1" t="s">
        <v>207</v>
      </c>
    </row>
    <row r="78" customFormat="false" ht="14.25" hidden="false" customHeight="false" outlineLevel="0" collapsed="false">
      <c r="A78" s="1" t="s">
        <v>208</v>
      </c>
      <c r="B78" s="1" t="s">
        <v>209</v>
      </c>
      <c r="C78" s="1" t="s">
        <v>210</v>
      </c>
    </row>
    <row r="79" customFormat="false" ht="14.25" hidden="false" customHeight="false" outlineLevel="0" collapsed="false">
      <c r="A79" s="1" t="s">
        <v>211</v>
      </c>
      <c r="B79" s="1" t="s">
        <v>212</v>
      </c>
      <c r="C79" s="1" t="s">
        <v>212</v>
      </c>
    </row>
    <row r="80" customFormat="false" ht="14.25" hidden="false" customHeight="false" outlineLevel="0" collapsed="false">
      <c r="A80" s="1" t="s">
        <v>213</v>
      </c>
      <c r="B80" s="1" t="s">
        <v>214</v>
      </c>
      <c r="C80" s="1" t="s">
        <v>214</v>
      </c>
    </row>
    <row r="81" customFormat="false" ht="14.25" hidden="false" customHeight="false" outlineLevel="0" collapsed="false">
      <c r="A81" s="1" t="s">
        <v>215</v>
      </c>
      <c r="B81" s="1" t="s">
        <v>216</v>
      </c>
      <c r="C81" s="1" t="s">
        <v>217</v>
      </c>
    </row>
    <row r="82" customFormat="false" ht="14.25" hidden="false" customHeight="false" outlineLevel="0" collapsed="false">
      <c r="A82" s="1" t="s">
        <v>218</v>
      </c>
      <c r="B82" s="1" t="s">
        <v>219</v>
      </c>
      <c r="C82" s="1" t="s">
        <v>219</v>
      </c>
    </row>
    <row r="83" customFormat="false" ht="14.25" hidden="false" customHeight="false" outlineLevel="0" collapsed="false">
      <c r="A83" s="1" t="s">
        <v>220</v>
      </c>
      <c r="B83" s="1" t="s">
        <v>221</v>
      </c>
      <c r="C83" s="1" t="s">
        <v>222</v>
      </c>
    </row>
    <row r="84" customFormat="false" ht="14.25" hidden="false" customHeight="false" outlineLevel="0" collapsed="false">
      <c r="A84" s="1" t="s">
        <v>223</v>
      </c>
      <c r="B84" s="1" t="s">
        <v>224</v>
      </c>
      <c r="C84" s="1" t="s">
        <v>225</v>
      </c>
    </row>
    <row r="85" customFormat="false" ht="14.25" hidden="false" customHeight="false" outlineLevel="0" collapsed="false">
      <c r="A85" s="1" t="s">
        <v>226</v>
      </c>
      <c r="B85" s="1" t="s">
        <v>227</v>
      </c>
      <c r="C85" s="1" t="s">
        <v>228</v>
      </c>
    </row>
    <row r="86" customFormat="false" ht="14.25" hidden="false" customHeight="false" outlineLevel="0" collapsed="false">
      <c r="A86" s="1" t="s">
        <v>229</v>
      </c>
      <c r="B86" s="1" t="s">
        <v>230</v>
      </c>
      <c r="C86" s="1" t="s">
        <v>231</v>
      </c>
    </row>
    <row r="87" customFormat="false" ht="14.25" hidden="false" customHeight="false" outlineLevel="0" collapsed="false">
      <c r="A87" s="1" t="s">
        <v>232</v>
      </c>
      <c r="B87" s="1" t="s">
        <v>230</v>
      </c>
      <c r="C87" s="1" t="s">
        <v>231</v>
      </c>
    </row>
    <row r="88" customFormat="false" ht="14.25" hidden="false" customHeight="false" outlineLevel="0" collapsed="false">
      <c r="A88" s="1" t="s">
        <v>233</v>
      </c>
      <c r="B88" s="1" t="s">
        <v>234</v>
      </c>
      <c r="C88" s="1" t="s">
        <v>235</v>
      </c>
    </row>
    <row r="89" customFormat="false" ht="14.25" hidden="false" customHeight="false" outlineLevel="0" collapsed="false">
      <c r="A89" s="1" t="s">
        <v>236</v>
      </c>
      <c r="B89" s="1" t="s">
        <v>237</v>
      </c>
      <c r="C89" s="1" t="s">
        <v>237</v>
      </c>
    </row>
    <row r="90" customFormat="false" ht="14.25" hidden="false" customHeight="false" outlineLevel="0" collapsed="false">
      <c r="A90" s="1" t="s">
        <v>238</v>
      </c>
      <c r="B90" s="1" t="s">
        <v>239</v>
      </c>
      <c r="C90" s="1" t="s">
        <v>240</v>
      </c>
    </row>
    <row r="91" customFormat="false" ht="14.25" hidden="false" customHeight="false" outlineLevel="0" collapsed="false">
      <c r="A91" s="1" t="s">
        <v>241</v>
      </c>
      <c r="B91" s="1" t="s">
        <v>242</v>
      </c>
      <c r="C91" s="1" t="s">
        <v>243</v>
      </c>
    </row>
    <row r="92" customFormat="false" ht="14.25" hidden="false" customHeight="false" outlineLevel="0" collapsed="false">
      <c r="A92" s="1" t="s">
        <v>244</v>
      </c>
      <c r="B92" s="1" t="s">
        <v>245</v>
      </c>
      <c r="C92" s="1" t="s">
        <v>246</v>
      </c>
    </row>
    <row r="93" customFormat="false" ht="14.25" hidden="false" customHeight="false" outlineLevel="0" collapsed="false">
      <c r="A93" s="1" t="s">
        <v>247</v>
      </c>
      <c r="B93" s="1" t="s">
        <v>248</v>
      </c>
      <c r="C93" s="1" t="s">
        <v>248</v>
      </c>
    </row>
    <row r="94" customFormat="false" ht="14.25" hidden="false" customHeight="false" outlineLevel="0" collapsed="false">
      <c r="A94" s="1" t="s">
        <v>249</v>
      </c>
      <c r="B94" s="1" t="s">
        <v>250</v>
      </c>
      <c r="C94" s="1" t="s">
        <v>251</v>
      </c>
    </row>
    <row r="95" customFormat="false" ht="14.25" hidden="false" customHeight="false" outlineLevel="0" collapsed="false">
      <c r="A95" s="1" t="s">
        <v>252</v>
      </c>
      <c r="B95" s="1" t="s">
        <v>253</v>
      </c>
      <c r="C95" s="1" t="s">
        <v>253</v>
      </c>
    </row>
    <row r="96" customFormat="false" ht="14.25" hidden="false" customHeight="false" outlineLevel="0" collapsed="false">
      <c r="A96" s="1" t="s">
        <v>254</v>
      </c>
      <c r="B96" s="1" t="s">
        <v>255</v>
      </c>
      <c r="C96" s="1" t="s">
        <v>255</v>
      </c>
    </row>
    <row r="97" customFormat="false" ht="14.25" hidden="false" customHeight="false" outlineLevel="0" collapsed="false">
      <c r="A97" s="1" t="s">
        <v>256</v>
      </c>
      <c r="B97" s="1" t="s">
        <v>257</v>
      </c>
      <c r="C97" s="1" t="s">
        <v>257</v>
      </c>
    </row>
    <row r="98" customFormat="false" ht="14.25" hidden="false" customHeight="false" outlineLevel="0" collapsed="false">
      <c r="A98" s="1" t="s">
        <v>258</v>
      </c>
      <c r="B98" s="1" t="s">
        <v>259</v>
      </c>
      <c r="C98" s="1" t="s">
        <v>260</v>
      </c>
    </row>
    <row r="99" customFormat="false" ht="14.25" hidden="false" customHeight="false" outlineLevel="0" collapsed="false">
      <c r="A99" s="1" t="s">
        <v>261</v>
      </c>
      <c r="B99" s="1" t="s">
        <v>262</v>
      </c>
      <c r="C99" s="1" t="s">
        <v>262</v>
      </c>
    </row>
    <row r="100" customFormat="false" ht="14.25" hidden="false" customHeight="false" outlineLevel="0" collapsed="false">
      <c r="A100" s="1" t="s">
        <v>263</v>
      </c>
      <c r="B100" s="1" t="s">
        <v>264</v>
      </c>
      <c r="C100" s="1" t="s">
        <v>265</v>
      </c>
    </row>
    <row r="101" customFormat="false" ht="14.25" hidden="false" customHeight="false" outlineLevel="0" collapsed="false">
      <c r="A101" s="1" t="s">
        <v>266</v>
      </c>
      <c r="B101" s="1" t="s">
        <v>267</v>
      </c>
      <c r="C101" s="1" t="s">
        <v>267</v>
      </c>
    </row>
    <row r="102" customFormat="false" ht="14.25" hidden="false" customHeight="false" outlineLevel="0" collapsed="false">
      <c r="A102" s="1" t="s">
        <v>268</v>
      </c>
      <c r="B102" s="1" t="s">
        <v>269</v>
      </c>
      <c r="C102" s="1" t="s">
        <v>269</v>
      </c>
    </row>
    <row r="103" customFormat="false" ht="14.25" hidden="false" customHeight="false" outlineLevel="0" collapsed="false">
      <c r="A103" s="1" t="s">
        <v>270</v>
      </c>
      <c r="B103" s="1" t="s">
        <v>269</v>
      </c>
      <c r="C103" s="1" t="s">
        <v>269</v>
      </c>
    </row>
    <row r="104" customFormat="false" ht="14.25" hidden="false" customHeight="false" outlineLevel="0" collapsed="false">
      <c r="A104" s="1" t="s">
        <v>271</v>
      </c>
      <c r="B104" s="1" t="s">
        <v>272</v>
      </c>
      <c r="C104" s="1" t="s">
        <v>272</v>
      </c>
    </row>
    <row r="105" customFormat="false" ht="14.25" hidden="false" customHeight="false" outlineLevel="0" collapsed="false">
      <c r="A105" s="1" t="s">
        <v>273</v>
      </c>
      <c r="B105" s="1" t="s">
        <v>274</v>
      </c>
      <c r="C105" s="1" t="s">
        <v>274</v>
      </c>
    </row>
    <row r="106" customFormat="false" ht="14.25" hidden="false" customHeight="false" outlineLevel="0" collapsed="false">
      <c r="A106" s="1" t="s">
        <v>275</v>
      </c>
      <c r="B106" s="1" t="s">
        <v>274</v>
      </c>
      <c r="C106" s="1" t="s">
        <v>274</v>
      </c>
    </row>
    <row r="107" customFormat="false" ht="14.25" hidden="false" customHeight="false" outlineLevel="0" collapsed="false">
      <c r="A107" s="1" t="s">
        <v>276</v>
      </c>
      <c r="B107" s="1" t="s">
        <v>274</v>
      </c>
      <c r="C107" s="1" t="s">
        <v>274</v>
      </c>
    </row>
    <row r="108" customFormat="false" ht="14.25" hidden="false" customHeight="false" outlineLevel="0" collapsed="false">
      <c r="A108" s="1" t="s">
        <v>277</v>
      </c>
      <c r="B108" s="1" t="s">
        <v>278</v>
      </c>
      <c r="C108" s="1" t="s">
        <v>278</v>
      </c>
    </row>
    <row r="109" customFormat="false" ht="14.25" hidden="false" customHeight="false" outlineLevel="0" collapsed="false">
      <c r="A109" s="1" t="s">
        <v>279</v>
      </c>
      <c r="B109" s="1" t="s">
        <v>280</v>
      </c>
      <c r="C109" s="1" t="s">
        <v>280</v>
      </c>
    </row>
    <row r="110" customFormat="false" ht="14.25" hidden="false" customHeight="false" outlineLevel="0" collapsed="false">
      <c r="A110" s="1" t="s">
        <v>281</v>
      </c>
      <c r="B110" s="1" t="s">
        <v>282</v>
      </c>
      <c r="C110" s="1" t="s">
        <v>283</v>
      </c>
    </row>
    <row r="111" customFormat="false" ht="14.25" hidden="false" customHeight="false" outlineLevel="0" collapsed="false">
      <c r="A111" s="1" t="s">
        <v>284</v>
      </c>
      <c r="B111" s="1" t="s">
        <v>285</v>
      </c>
      <c r="C111" s="1" t="s">
        <v>285</v>
      </c>
    </row>
    <row r="112" customFormat="false" ht="14.25" hidden="false" customHeight="false" outlineLevel="0" collapsed="false">
      <c r="A112" s="1" t="s">
        <v>286</v>
      </c>
      <c r="B112" s="1" t="s">
        <v>287</v>
      </c>
      <c r="C112" s="1" t="s">
        <v>288</v>
      </c>
    </row>
    <row r="113" customFormat="false" ht="14.25" hidden="false" customHeight="false" outlineLevel="0" collapsed="false">
      <c r="A113" s="1" t="s">
        <v>289</v>
      </c>
      <c r="B113" s="1" t="s">
        <v>290</v>
      </c>
      <c r="C113" s="1" t="s">
        <v>291</v>
      </c>
    </row>
    <row r="114" customFormat="false" ht="14.25" hidden="false" customHeight="false" outlineLevel="0" collapsed="false">
      <c r="A114" s="1" t="s">
        <v>53</v>
      </c>
      <c r="B114" s="1" t="s">
        <v>292</v>
      </c>
      <c r="C114" s="1" t="s">
        <v>293</v>
      </c>
    </row>
    <row r="115" customFormat="false" ht="14.25" hidden="false" customHeight="false" outlineLevel="0" collapsed="false">
      <c r="A115" s="1" t="s">
        <v>294</v>
      </c>
      <c r="B115" s="1" t="s">
        <v>295</v>
      </c>
      <c r="C115" s="1" t="s">
        <v>295</v>
      </c>
    </row>
    <row r="116" customFormat="false" ht="14.25" hidden="false" customHeight="false" outlineLevel="0" collapsed="false">
      <c r="A116" s="1" t="s">
        <v>296</v>
      </c>
      <c r="B116" s="1" t="s">
        <v>297</v>
      </c>
      <c r="C116" s="1" t="s">
        <v>298</v>
      </c>
    </row>
    <row r="117" customFormat="false" ht="14.25" hidden="false" customHeight="false" outlineLevel="0" collapsed="false">
      <c r="A117" s="1" t="s">
        <v>299</v>
      </c>
      <c r="B117" s="1" t="s">
        <v>300</v>
      </c>
      <c r="C117" s="1" t="s">
        <v>300</v>
      </c>
    </row>
    <row r="118" customFormat="false" ht="14.25" hidden="false" customHeight="false" outlineLevel="0" collapsed="false">
      <c r="A118" s="1" t="s">
        <v>301</v>
      </c>
      <c r="B118" s="1" t="s">
        <v>302</v>
      </c>
      <c r="C118" s="1" t="s">
        <v>303</v>
      </c>
    </row>
    <row r="119" customFormat="false" ht="14.25" hidden="false" customHeight="false" outlineLevel="0" collapsed="false">
      <c r="A119" s="1" t="s">
        <v>304</v>
      </c>
      <c r="B119" s="1" t="s">
        <v>305</v>
      </c>
      <c r="C119" s="1" t="s">
        <v>305</v>
      </c>
    </row>
    <row r="120" customFormat="false" ht="14.25" hidden="false" customHeight="false" outlineLevel="0" collapsed="false">
      <c r="A120" s="1" t="s">
        <v>306</v>
      </c>
      <c r="B120" s="1" t="s">
        <v>307</v>
      </c>
      <c r="C120" s="1" t="s">
        <v>308</v>
      </c>
    </row>
    <row r="121" customFormat="false" ht="14.25" hidden="false" customHeight="false" outlineLevel="0" collapsed="false">
      <c r="A121" s="1" t="s">
        <v>309</v>
      </c>
      <c r="B121" s="1" t="s">
        <v>307</v>
      </c>
      <c r="C121" s="1" t="s">
        <v>308</v>
      </c>
    </row>
    <row r="122" customFormat="false" ht="14.25" hidden="false" customHeight="false" outlineLevel="0" collapsed="false">
      <c r="A122" s="1" t="s">
        <v>310</v>
      </c>
      <c r="B122" s="1" t="s">
        <v>307</v>
      </c>
      <c r="C122" s="1" t="s">
        <v>308</v>
      </c>
    </row>
    <row r="123" customFormat="false" ht="14.25" hidden="false" customHeight="false" outlineLevel="0" collapsed="false">
      <c r="A123" s="1" t="s">
        <v>311</v>
      </c>
      <c r="B123" s="1" t="s">
        <v>312</v>
      </c>
      <c r="C123" s="1" t="s">
        <v>312</v>
      </c>
    </row>
    <row r="124" customFormat="false" ht="14.25" hidden="false" customHeight="false" outlineLevel="0" collapsed="false">
      <c r="A124" s="1" t="s">
        <v>313</v>
      </c>
      <c r="B124" s="1" t="s">
        <v>314</v>
      </c>
      <c r="C124" s="1" t="s">
        <v>315</v>
      </c>
    </row>
    <row r="125" customFormat="false" ht="14.25" hidden="false" customHeight="false" outlineLevel="0" collapsed="false">
      <c r="A125" s="1" t="s">
        <v>316</v>
      </c>
      <c r="B125" s="1" t="s">
        <v>314</v>
      </c>
      <c r="C125" s="1" t="s">
        <v>315</v>
      </c>
    </row>
    <row r="126" customFormat="false" ht="14.25" hidden="false" customHeight="false" outlineLevel="0" collapsed="false">
      <c r="A126" s="1" t="s">
        <v>317</v>
      </c>
      <c r="B126" s="1" t="s">
        <v>318</v>
      </c>
      <c r="C126" s="1" t="s">
        <v>318</v>
      </c>
    </row>
    <row r="127" customFormat="false" ht="14.25" hidden="false" customHeight="false" outlineLevel="0" collapsed="false">
      <c r="A127" s="1" t="s">
        <v>319</v>
      </c>
      <c r="B127" s="1" t="s">
        <v>318</v>
      </c>
      <c r="C127" s="1" t="s">
        <v>318</v>
      </c>
    </row>
    <row r="128" customFormat="false" ht="14.25" hidden="false" customHeight="false" outlineLevel="0" collapsed="false">
      <c r="A128" s="1" t="s">
        <v>320</v>
      </c>
      <c r="B128" s="1" t="s">
        <v>318</v>
      </c>
      <c r="C128" s="1" t="s">
        <v>318</v>
      </c>
    </row>
    <row r="129" customFormat="false" ht="14.25" hidden="false" customHeight="false" outlineLevel="0" collapsed="false">
      <c r="A129" s="1" t="s">
        <v>321</v>
      </c>
      <c r="B129" s="1" t="s">
        <v>322</v>
      </c>
      <c r="C129" s="1" t="s">
        <v>322</v>
      </c>
    </row>
    <row r="130" customFormat="false" ht="14.25" hidden="false" customHeight="false" outlineLevel="0" collapsed="false">
      <c r="A130" s="1" t="s">
        <v>323</v>
      </c>
      <c r="B130" s="1" t="s">
        <v>322</v>
      </c>
      <c r="C130" s="1" t="s">
        <v>322</v>
      </c>
    </row>
    <row r="131" customFormat="false" ht="14.25" hidden="false" customHeight="false" outlineLevel="0" collapsed="false">
      <c r="A131" s="1" t="s">
        <v>324</v>
      </c>
      <c r="B131" s="1" t="s">
        <v>325</v>
      </c>
      <c r="C131" s="1" t="s">
        <v>326</v>
      </c>
    </row>
    <row r="132" customFormat="false" ht="14.25" hidden="false" customHeight="false" outlineLevel="0" collapsed="false">
      <c r="A132" s="1" t="s">
        <v>327</v>
      </c>
      <c r="B132" s="1" t="s">
        <v>328</v>
      </c>
      <c r="C132" s="1" t="s">
        <v>328</v>
      </c>
    </row>
    <row r="133" customFormat="false" ht="14.25" hidden="false" customHeight="false" outlineLevel="0" collapsed="false">
      <c r="A133" s="1" t="s">
        <v>329</v>
      </c>
      <c r="B133" s="1" t="s">
        <v>328</v>
      </c>
      <c r="C133" s="1" t="s">
        <v>328</v>
      </c>
    </row>
    <row r="134" customFormat="false" ht="14.25" hidden="false" customHeight="false" outlineLevel="0" collapsed="false">
      <c r="A134" s="1" t="s">
        <v>330</v>
      </c>
      <c r="B134" s="1" t="s">
        <v>328</v>
      </c>
      <c r="C134" s="1" t="s">
        <v>328</v>
      </c>
    </row>
    <row r="135" customFormat="false" ht="14.25" hidden="false" customHeight="false" outlineLevel="0" collapsed="false">
      <c r="A135" s="1" t="s">
        <v>331</v>
      </c>
      <c r="B135" s="1" t="s">
        <v>332</v>
      </c>
      <c r="C135" s="1" t="s">
        <v>333</v>
      </c>
    </row>
    <row r="136" customFormat="false" ht="14.25" hidden="false" customHeight="false" outlineLevel="0" collapsed="false">
      <c r="A136" s="1" t="s">
        <v>334</v>
      </c>
      <c r="B136" s="1" t="s">
        <v>332</v>
      </c>
      <c r="C136" s="1" t="s">
        <v>332</v>
      </c>
    </row>
    <row r="137" customFormat="false" ht="14.25" hidden="false" customHeight="false" outlineLevel="0" collapsed="false">
      <c r="A137" s="1" t="s">
        <v>335</v>
      </c>
      <c r="B137" s="1" t="s">
        <v>336</v>
      </c>
      <c r="C137" s="1" t="s">
        <v>336</v>
      </c>
    </row>
    <row r="138" customFormat="false" ht="14.25" hidden="false" customHeight="false" outlineLevel="0" collapsed="false">
      <c r="A138" s="1" t="s">
        <v>337</v>
      </c>
      <c r="B138" s="1" t="s">
        <v>338</v>
      </c>
      <c r="C138" s="1" t="s">
        <v>338</v>
      </c>
    </row>
    <row r="139" customFormat="false" ht="14.25" hidden="false" customHeight="false" outlineLevel="0" collapsed="false">
      <c r="A139" s="1" t="s">
        <v>339</v>
      </c>
      <c r="B139" s="1" t="s">
        <v>338</v>
      </c>
      <c r="C139" s="1" t="s">
        <v>338</v>
      </c>
    </row>
    <row r="140" customFormat="false" ht="14.25" hidden="false" customHeight="false" outlineLevel="0" collapsed="false">
      <c r="A140" s="1" t="s">
        <v>340</v>
      </c>
      <c r="B140" s="1" t="s">
        <v>338</v>
      </c>
      <c r="C140" s="1" t="s">
        <v>338</v>
      </c>
    </row>
    <row r="141" customFormat="false" ht="14.25" hidden="false" customHeight="false" outlineLevel="0" collapsed="false">
      <c r="A141" s="1" t="s">
        <v>341</v>
      </c>
      <c r="B141" s="1" t="s">
        <v>342</v>
      </c>
      <c r="C141" s="1" t="s">
        <v>342</v>
      </c>
    </row>
    <row r="142" customFormat="false" ht="14.25" hidden="false" customHeight="false" outlineLevel="0" collapsed="false">
      <c r="A142" s="1" t="s">
        <v>343</v>
      </c>
      <c r="B142" s="1" t="s">
        <v>342</v>
      </c>
      <c r="C142" s="1" t="s">
        <v>342</v>
      </c>
    </row>
    <row r="143" customFormat="false" ht="14.25" hidden="false" customHeight="false" outlineLevel="0" collapsed="false">
      <c r="A143" s="1" t="s">
        <v>344</v>
      </c>
      <c r="B143" s="1" t="s">
        <v>345</v>
      </c>
      <c r="C143" s="1" t="s">
        <v>346</v>
      </c>
    </row>
    <row r="144" customFormat="false" ht="14.25" hidden="false" customHeight="false" outlineLevel="0" collapsed="false">
      <c r="A144" s="1" t="s">
        <v>347</v>
      </c>
      <c r="B144" s="1" t="s">
        <v>348</v>
      </c>
      <c r="C144" s="1" t="s">
        <v>349</v>
      </c>
    </row>
    <row r="145" customFormat="false" ht="14.25" hidden="false" customHeight="false" outlineLevel="0" collapsed="false">
      <c r="A145" s="1" t="s">
        <v>350</v>
      </c>
      <c r="B145" s="1" t="s">
        <v>346</v>
      </c>
      <c r="C145" s="1" t="s">
        <v>346</v>
      </c>
    </row>
    <row r="146" customFormat="false" ht="14.25" hidden="false" customHeight="false" outlineLevel="0" collapsed="false">
      <c r="A146" s="1" t="s">
        <v>351</v>
      </c>
      <c r="B146" s="1" t="s">
        <v>352</v>
      </c>
      <c r="C146" s="1" t="s">
        <v>353</v>
      </c>
    </row>
    <row r="147" customFormat="false" ht="14.25" hidden="false" customHeight="false" outlineLevel="0" collapsed="false">
      <c r="A147" s="1" t="s">
        <v>354</v>
      </c>
      <c r="B147" s="1" t="s">
        <v>355</v>
      </c>
      <c r="C147" s="1" t="s">
        <v>356</v>
      </c>
    </row>
    <row r="148" customFormat="false" ht="14.25" hidden="false" customHeight="false" outlineLevel="0" collapsed="false">
      <c r="A148" s="1" t="s">
        <v>357</v>
      </c>
      <c r="B148" s="1" t="s">
        <v>358</v>
      </c>
      <c r="C148" s="1" t="s">
        <v>359</v>
      </c>
    </row>
    <row r="149" customFormat="false" ht="14.25" hidden="false" customHeight="false" outlineLevel="0" collapsed="false">
      <c r="A149" s="1" t="s">
        <v>360</v>
      </c>
      <c r="B149" s="1" t="s">
        <v>361</v>
      </c>
      <c r="C149" s="1" t="s">
        <v>362</v>
      </c>
    </row>
    <row r="150" customFormat="false" ht="14.25" hidden="false" customHeight="false" outlineLevel="0" collapsed="false">
      <c r="A150" s="1" t="s">
        <v>363</v>
      </c>
      <c r="B150" s="1" t="s">
        <v>364</v>
      </c>
      <c r="C150" s="1" t="s">
        <v>359</v>
      </c>
    </row>
    <row r="151" customFormat="false" ht="14.25" hidden="false" customHeight="false" outlineLevel="0" collapsed="false">
      <c r="A151" s="1" t="s">
        <v>365</v>
      </c>
      <c r="B151" s="1" t="s">
        <v>364</v>
      </c>
      <c r="C151" s="1" t="s">
        <v>359</v>
      </c>
    </row>
    <row r="152" customFormat="false" ht="14.25" hidden="false" customHeight="false" outlineLevel="0" collapsed="false">
      <c r="A152" s="1" t="s">
        <v>51</v>
      </c>
      <c r="B152" s="1" t="s">
        <v>364</v>
      </c>
      <c r="C152" s="1" t="s">
        <v>366</v>
      </c>
    </row>
    <row r="153" customFormat="false" ht="14.25" hidden="false" customHeight="false" outlineLevel="0" collapsed="false">
      <c r="A153" s="1" t="s">
        <v>367</v>
      </c>
      <c r="B153" s="1" t="s">
        <v>364</v>
      </c>
      <c r="C153" s="1" t="s">
        <v>366</v>
      </c>
    </row>
    <row r="154" customFormat="false" ht="14.25" hidden="false" customHeight="false" outlineLevel="0" collapsed="false">
      <c r="A154" s="1" t="s">
        <v>368</v>
      </c>
      <c r="B154" s="1" t="s">
        <v>369</v>
      </c>
      <c r="C154" s="1" t="s">
        <v>370</v>
      </c>
    </row>
    <row r="155" customFormat="false" ht="14.25" hidden="false" customHeight="false" outlineLevel="0" collapsed="false">
      <c r="A155" s="1" t="s">
        <v>371</v>
      </c>
      <c r="B155" s="1" t="s">
        <v>372</v>
      </c>
      <c r="C155" s="1" t="s">
        <v>373</v>
      </c>
    </row>
    <row r="156" customFormat="false" ht="14.25" hidden="false" customHeight="false" outlineLevel="0" collapsed="false">
      <c r="A156" s="1" t="s">
        <v>374</v>
      </c>
      <c r="B156" s="1" t="s">
        <v>375</v>
      </c>
      <c r="C156" s="1" t="s">
        <v>376</v>
      </c>
    </row>
    <row r="157" customFormat="false" ht="14.25" hidden="false" customHeight="false" outlineLevel="0" collapsed="false">
      <c r="A157" s="1" t="s">
        <v>377</v>
      </c>
      <c r="B157" s="1" t="s">
        <v>375</v>
      </c>
      <c r="C157" s="1" t="s">
        <v>376</v>
      </c>
    </row>
    <row r="158" customFormat="false" ht="14.25" hidden="false" customHeight="false" outlineLevel="0" collapsed="false">
      <c r="A158" s="1" t="s">
        <v>378</v>
      </c>
      <c r="B158" s="1" t="s">
        <v>379</v>
      </c>
      <c r="C158" s="1" t="s">
        <v>380</v>
      </c>
    </row>
    <row r="159" customFormat="false" ht="14.25" hidden="false" customHeight="false" outlineLevel="0" collapsed="false">
      <c r="A159" s="1" t="s">
        <v>381</v>
      </c>
      <c r="B159" s="1" t="s">
        <v>382</v>
      </c>
      <c r="C159" s="1" t="s">
        <v>383</v>
      </c>
    </row>
    <row r="160" customFormat="false" ht="14.25" hidden="false" customHeight="false" outlineLevel="0" collapsed="false">
      <c r="A160" s="1" t="s">
        <v>384</v>
      </c>
      <c r="B160" s="1" t="s">
        <v>385</v>
      </c>
      <c r="C160" s="1" t="s">
        <v>386</v>
      </c>
    </row>
    <row r="161" customFormat="false" ht="14.25" hidden="false" customHeight="false" outlineLevel="0" collapsed="false">
      <c r="A161" s="1" t="s">
        <v>387</v>
      </c>
      <c r="B161" s="1" t="s">
        <v>388</v>
      </c>
      <c r="C161" s="1" t="s">
        <v>388</v>
      </c>
    </row>
    <row r="162" customFormat="false" ht="14.25" hidden="false" customHeight="false" outlineLevel="0" collapsed="false">
      <c r="A162" s="1" t="s">
        <v>389</v>
      </c>
      <c r="B162" s="1" t="s">
        <v>390</v>
      </c>
      <c r="C162" s="1" t="s">
        <v>391</v>
      </c>
    </row>
    <row r="163" customFormat="false" ht="14.25" hidden="false" customHeight="false" outlineLevel="0" collapsed="false">
      <c r="A163" s="1" t="s">
        <v>392</v>
      </c>
      <c r="B163" s="1" t="s">
        <v>393</v>
      </c>
      <c r="C163" s="1" t="s">
        <v>393</v>
      </c>
    </row>
    <row r="164" customFormat="false" ht="14.25" hidden="false" customHeight="false" outlineLevel="0" collapsed="false">
      <c r="A164" s="1" t="s">
        <v>394</v>
      </c>
      <c r="B164" s="1" t="s">
        <v>395</v>
      </c>
      <c r="C164" s="1" t="s">
        <v>396</v>
      </c>
    </row>
    <row r="165" customFormat="false" ht="14.25" hidden="false" customHeight="false" outlineLevel="0" collapsed="false">
      <c r="A165" s="1" t="s">
        <v>397</v>
      </c>
      <c r="B165" s="1" t="s">
        <v>398</v>
      </c>
      <c r="C165" s="1" t="s">
        <v>398</v>
      </c>
    </row>
    <row r="166" customFormat="false" ht="14.25" hidden="false" customHeight="false" outlineLevel="0" collapsed="false">
      <c r="A166" s="1" t="s">
        <v>399</v>
      </c>
      <c r="B166" s="1" t="s">
        <v>400</v>
      </c>
      <c r="C166" s="1" t="s">
        <v>401</v>
      </c>
    </row>
    <row r="167" customFormat="false" ht="14.25" hidden="false" customHeight="false" outlineLevel="0" collapsed="false">
      <c r="A167" s="1" t="s">
        <v>402</v>
      </c>
      <c r="B167" s="1" t="s">
        <v>403</v>
      </c>
      <c r="C167" s="1" t="s">
        <v>404</v>
      </c>
    </row>
    <row r="168" customFormat="false" ht="14.25" hidden="false" customHeight="false" outlineLevel="0" collapsed="false">
      <c r="A168" s="1" t="s">
        <v>405</v>
      </c>
      <c r="B168" s="1" t="s">
        <v>406</v>
      </c>
      <c r="C168" s="1" t="s">
        <v>406</v>
      </c>
    </row>
    <row r="169" customFormat="false" ht="14.25" hidden="false" customHeight="false" outlineLevel="0" collapsed="false">
      <c r="A169" s="1" t="s">
        <v>407</v>
      </c>
      <c r="B169" s="1" t="s">
        <v>408</v>
      </c>
      <c r="C169" s="1" t="s">
        <v>408</v>
      </c>
    </row>
    <row r="170" customFormat="false" ht="14.25" hidden="false" customHeight="false" outlineLevel="0" collapsed="false">
      <c r="A170" s="1" t="s">
        <v>409</v>
      </c>
      <c r="B170" s="1" t="s">
        <v>410</v>
      </c>
      <c r="C170" s="1" t="s">
        <v>410</v>
      </c>
    </row>
    <row r="171" customFormat="false" ht="14.25" hidden="false" customHeight="false" outlineLevel="0" collapsed="false">
      <c r="A171" s="1" t="s">
        <v>411</v>
      </c>
      <c r="B171" s="1" t="s">
        <v>412</v>
      </c>
      <c r="C171" s="1" t="s">
        <v>412</v>
      </c>
    </row>
    <row r="172" customFormat="false" ht="14.25" hidden="false" customHeight="false" outlineLevel="0" collapsed="false">
      <c r="A172" s="1" t="s">
        <v>413</v>
      </c>
      <c r="B172" s="1" t="s">
        <v>414</v>
      </c>
      <c r="C172" s="1" t="s">
        <v>414</v>
      </c>
    </row>
    <row r="173" customFormat="false" ht="14.25" hidden="false" customHeight="false" outlineLevel="0" collapsed="false">
      <c r="A173" s="1" t="s">
        <v>415</v>
      </c>
      <c r="B173" s="1" t="s">
        <v>416</v>
      </c>
      <c r="C173" s="1" t="s">
        <v>416</v>
      </c>
    </row>
    <row r="174" customFormat="false" ht="14.25" hidden="false" customHeight="false" outlineLevel="0" collapsed="false">
      <c r="A174" s="1" t="s">
        <v>417</v>
      </c>
      <c r="B174" s="1" t="s">
        <v>418</v>
      </c>
      <c r="C174" s="1" t="s">
        <v>418</v>
      </c>
    </row>
    <row r="175" customFormat="false" ht="14.25" hidden="false" customHeight="false" outlineLevel="0" collapsed="false">
      <c r="A175" s="1" t="s">
        <v>49</v>
      </c>
      <c r="B175" s="1" t="s">
        <v>419</v>
      </c>
      <c r="C175" s="1" t="s">
        <v>420</v>
      </c>
    </row>
    <row r="176" customFormat="false" ht="14.25" hidden="false" customHeight="false" outlineLevel="0" collapsed="false">
      <c r="A176" s="1" t="s">
        <v>421</v>
      </c>
      <c r="B176" s="1" t="s">
        <v>422</v>
      </c>
      <c r="C176" s="1" t="s">
        <v>422</v>
      </c>
    </row>
    <row r="177" customFormat="false" ht="14.25" hidden="false" customHeight="false" outlineLevel="0" collapsed="false">
      <c r="A177" s="1" t="s">
        <v>423</v>
      </c>
      <c r="B177" s="1" t="s">
        <v>424</v>
      </c>
      <c r="C177" s="1" t="s">
        <v>424</v>
      </c>
    </row>
    <row r="178" customFormat="false" ht="14.25" hidden="false" customHeight="false" outlineLevel="0" collapsed="false">
      <c r="A178" s="1" t="s">
        <v>425</v>
      </c>
      <c r="B178" s="1" t="s">
        <v>424</v>
      </c>
      <c r="C178" s="1" t="s">
        <v>424</v>
      </c>
    </row>
    <row r="179" customFormat="false" ht="14.25" hidden="false" customHeight="false" outlineLevel="0" collapsed="false">
      <c r="A179" s="1" t="s">
        <v>426</v>
      </c>
      <c r="B179" s="1" t="s">
        <v>427</v>
      </c>
      <c r="C179" s="1" t="s">
        <v>427</v>
      </c>
    </row>
    <row r="180" customFormat="false" ht="14.25" hidden="false" customHeight="false" outlineLevel="0" collapsed="false">
      <c r="A180" s="1" t="s">
        <v>47</v>
      </c>
      <c r="B180" s="1" t="s">
        <v>428</v>
      </c>
      <c r="C180" s="1" t="s">
        <v>429</v>
      </c>
    </row>
    <row r="181" customFormat="false" ht="14.25" hidden="false" customHeight="false" outlineLevel="0" collapsed="false">
      <c r="A181" s="1" t="s">
        <v>430</v>
      </c>
      <c r="B181" s="1" t="s">
        <v>431</v>
      </c>
      <c r="C181" s="1" t="s">
        <v>431</v>
      </c>
    </row>
    <row r="182" customFormat="false" ht="14.25" hidden="false" customHeight="false" outlineLevel="0" collapsed="false">
      <c r="A182" s="1" t="s">
        <v>432</v>
      </c>
      <c r="B182" s="1" t="s">
        <v>433</v>
      </c>
      <c r="C182" s="1" t="s">
        <v>433</v>
      </c>
    </row>
    <row r="183" customFormat="false" ht="14.25" hidden="false" customHeight="false" outlineLevel="0" collapsed="false">
      <c r="A183" s="1" t="s">
        <v>434</v>
      </c>
      <c r="B183" s="1" t="s">
        <v>435</v>
      </c>
      <c r="C183" s="1" t="s">
        <v>436</v>
      </c>
    </row>
    <row r="184" customFormat="false" ht="14.25" hidden="false" customHeight="false" outlineLevel="0" collapsed="false">
      <c r="A184" s="1" t="s">
        <v>437</v>
      </c>
      <c r="B184" s="1" t="s">
        <v>438</v>
      </c>
      <c r="C184" s="1" t="s">
        <v>439</v>
      </c>
    </row>
    <row r="185" customFormat="false" ht="14.25" hidden="false" customHeight="false" outlineLevel="0" collapsed="false">
      <c r="A185" s="1" t="s">
        <v>440</v>
      </c>
      <c r="B185" s="1" t="s">
        <v>441</v>
      </c>
      <c r="C185" s="1" t="s">
        <v>442</v>
      </c>
    </row>
    <row r="186" customFormat="false" ht="14.25" hidden="false" customHeight="false" outlineLevel="0" collapsed="false">
      <c r="A186" s="1" t="s">
        <v>443</v>
      </c>
      <c r="B186" s="1" t="s">
        <v>441</v>
      </c>
      <c r="C186" s="1" t="s">
        <v>442</v>
      </c>
    </row>
    <row r="187" customFormat="false" ht="14.25" hidden="false" customHeight="false" outlineLevel="0" collapsed="false">
      <c r="A187" s="1" t="s">
        <v>444</v>
      </c>
      <c r="B187" s="1" t="s">
        <v>441</v>
      </c>
      <c r="C187" s="1" t="s">
        <v>442</v>
      </c>
    </row>
    <row r="188" customFormat="false" ht="14.25" hidden="false" customHeight="false" outlineLevel="0" collapsed="false">
      <c r="A188" s="1" t="s">
        <v>445</v>
      </c>
      <c r="B188" s="1" t="s">
        <v>446</v>
      </c>
      <c r="C188" s="1" t="s">
        <v>447</v>
      </c>
    </row>
    <row r="189" customFormat="false" ht="14.25" hidden="false" customHeight="false" outlineLevel="0" collapsed="false">
      <c r="A189" s="1" t="s">
        <v>448</v>
      </c>
      <c r="B189" s="1" t="s">
        <v>449</v>
      </c>
      <c r="C189" s="1" t="s">
        <v>450</v>
      </c>
    </row>
    <row r="190" customFormat="false" ht="14.25" hidden="false" customHeight="false" outlineLevel="0" collapsed="false">
      <c r="A190" s="1" t="s">
        <v>451</v>
      </c>
      <c r="B190" s="1" t="s">
        <v>452</v>
      </c>
      <c r="C190" s="1" t="s">
        <v>453</v>
      </c>
    </row>
    <row r="191" customFormat="false" ht="14.25" hidden="false" customHeight="false" outlineLevel="0" collapsed="false">
      <c r="A191" s="1" t="s">
        <v>454</v>
      </c>
      <c r="B191" s="1" t="s">
        <v>455</v>
      </c>
      <c r="C191" s="1" t="s">
        <v>456</v>
      </c>
    </row>
    <row r="192" customFormat="false" ht="14.25" hidden="false" customHeight="false" outlineLevel="0" collapsed="false">
      <c r="A192" s="1" t="s">
        <v>457</v>
      </c>
      <c r="B192" s="1" t="s">
        <v>458</v>
      </c>
      <c r="C192" s="1" t="s">
        <v>459</v>
      </c>
    </row>
    <row r="193" customFormat="false" ht="14.25" hidden="false" customHeight="false" outlineLevel="0" collapsed="false">
      <c r="A193" s="1" t="s">
        <v>460</v>
      </c>
      <c r="B193" s="1" t="s">
        <v>461</v>
      </c>
      <c r="C193" s="1" t="s">
        <v>461</v>
      </c>
    </row>
    <row r="194" customFormat="false" ht="14.25" hidden="false" customHeight="false" outlineLevel="0" collapsed="false">
      <c r="A194" s="1" t="s">
        <v>462</v>
      </c>
      <c r="B194" s="1" t="s">
        <v>463</v>
      </c>
      <c r="C194" s="1" t="s">
        <v>285</v>
      </c>
    </row>
    <row r="195" customFormat="false" ht="14.25" hidden="false" customHeight="false" outlineLevel="0" collapsed="false">
      <c r="A195" s="1" t="s">
        <v>464</v>
      </c>
      <c r="B195" s="1" t="s">
        <v>463</v>
      </c>
      <c r="C195" s="1" t="s">
        <v>285</v>
      </c>
    </row>
    <row r="196" customFormat="false" ht="14.25" hidden="false" customHeight="false" outlineLevel="0" collapsed="false">
      <c r="A196" s="1" t="s">
        <v>465</v>
      </c>
      <c r="B196" s="1" t="s">
        <v>463</v>
      </c>
      <c r="C196" s="1" t="s">
        <v>285</v>
      </c>
    </row>
    <row r="197" customFormat="false" ht="14.25" hidden="false" customHeight="false" outlineLevel="0" collapsed="false">
      <c r="A197" s="1" t="s">
        <v>466</v>
      </c>
      <c r="B197" s="1" t="s">
        <v>467</v>
      </c>
      <c r="C197" s="1" t="s">
        <v>467</v>
      </c>
    </row>
    <row r="198" customFormat="false" ht="14.25" hidden="false" customHeight="false" outlineLevel="0" collapsed="false">
      <c r="A198" s="1" t="s">
        <v>468</v>
      </c>
      <c r="B198" s="1" t="s">
        <v>469</v>
      </c>
      <c r="C198" s="1" t="s">
        <v>469</v>
      </c>
    </row>
    <row r="199" customFormat="false" ht="14.25" hidden="false" customHeight="false" outlineLevel="0" collapsed="false">
      <c r="A199" s="1" t="s">
        <v>470</v>
      </c>
      <c r="B199" s="1" t="s">
        <v>471</v>
      </c>
      <c r="C199" s="1" t="s">
        <v>179</v>
      </c>
    </row>
    <row r="200" customFormat="false" ht="14.25" hidden="false" customHeight="false" outlineLevel="0" collapsed="false">
      <c r="A200" s="1" t="s">
        <v>472</v>
      </c>
      <c r="B200" s="1" t="s">
        <v>473</v>
      </c>
      <c r="C200" s="1" t="s">
        <v>474</v>
      </c>
    </row>
    <row r="201" customFormat="false" ht="14.25" hidden="false" customHeight="false" outlineLevel="0" collapsed="false">
      <c r="A201" s="1" t="s">
        <v>475</v>
      </c>
      <c r="B201" s="1" t="s">
        <v>476</v>
      </c>
      <c r="C201" s="1" t="s">
        <v>477</v>
      </c>
    </row>
    <row r="202" customFormat="false" ht="14.25" hidden="false" customHeight="false" outlineLevel="0" collapsed="false">
      <c r="A202" s="1" t="s">
        <v>478</v>
      </c>
      <c r="B202" s="1" t="s">
        <v>479</v>
      </c>
      <c r="C202" s="1" t="s">
        <v>480</v>
      </c>
    </row>
    <row r="203" customFormat="false" ht="14.25" hidden="false" customHeight="false" outlineLevel="0" collapsed="false">
      <c r="A203" s="1" t="s">
        <v>481</v>
      </c>
      <c r="B203" s="1" t="s">
        <v>482</v>
      </c>
      <c r="C203" s="1" t="s">
        <v>483</v>
      </c>
    </row>
    <row r="204" customFormat="false" ht="14.25" hidden="false" customHeight="false" outlineLevel="0" collapsed="false">
      <c r="A204" s="1" t="s">
        <v>484</v>
      </c>
      <c r="B204" s="1" t="s">
        <v>485</v>
      </c>
      <c r="C204" s="1" t="s">
        <v>485</v>
      </c>
    </row>
    <row r="205" customFormat="false" ht="14.25" hidden="false" customHeight="false" outlineLevel="0" collapsed="false">
      <c r="A205" s="1" t="s">
        <v>486</v>
      </c>
      <c r="B205" s="1" t="s">
        <v>487</v>
      </c>
      <c r="C205" s="1" t="s">
        <v>488</v>
      </c>
    </row>
    <row r="206" customFormat="false" ht="14.25" hidden="false" customHeight="false" outlineLevel="0" collapsed="false">
      <c r="A206" s="1" t="s">
        <v>489</v>
      </c>
      <c r="B206" s="1" t="s">
        <v>490</v>
      </c>
      <c r="C206" s="1" t="s">
        <v>491</v>
      </c>
    </row>
    <row r="207" customFormat="false" ht="14.25" hidden="false" customHeight="false" outlineLevel="0" collapsed="false">
      <c r="A207" s="1" t="s">
        <v>492</v>
      </c>
      <c r="B207" s="1" t="s">
        <v>493</v>
      </c>
      <c r="C207" s="1" t="s">
        <v>494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3.56"/>
    <col collapsed="false" customWidth="true" hidden="false" outlineLevel="0" max="2" min="2" style="1" width="50.56"/>
    <col collapsed="false" customWidth="true" hidden="false" outlineLevel="0" max="17" min="3" style="1" width="10.66"/>
  </cols>
  <sheetData>
    <row r="1" customFormat="false" ht="14.25" hidden="false" customHeight="true" outlineLevel="0" collapsed="false">
      <c r="A1" s="3" t="s">
        <v>1</v>
      </c>
      <c r="B1" s="2" t="s">
        <v>0</v>
      </c>
    </row>
    <row r="2" customFormat="false" ht="14.25" hidden="false" customHeight="true" outlineLevel="0" collapsed="false">
      <c r="A2" s="7" t="s">
        <v>12</v>
      </c>
      <c r="B2" s="7" t="s">
        <v>11</v>
      </c>
    </row>
    <row r="3" customFormat="false" ht="14.25" hidden="false" customHeight="true" outlineLevel="0" collapsed="false">
      <c r="A3" s="7" t="s">
        <v>495</v>
      </c>
      <c r="B3" s="7" t="s">
        <v>496</v>
      </c>
    </row>
    <row r="4" customFormat="false" ht="14.25" hidden="false" customHeight="true" outlineLevel="0" collapsed="false">
      <c r="A4" s="10" t="s">
        <v>497</v>
      </c>
      <c r="B4" s="10" t="s">
        <v>498</v>
      </c>
    </row>
    <row r="5" customFormat="false" ht="14.25" hidden="false" customHeight="true" outlineLevel="0" collapsed="false">
      <c r="A5" s="8" t="s">
        <v>497</v>
      </c>
      <c r="B5" s="8" t="s">
        <v>499</v>
      </c>
    </row>
    <row r="6" customFormat="false" ht="14.25" hidden="false" customHeight="true" outlineLevel="0" collapsed="false">
      <c r="A6" s="9" t="s">
        <v>497</v>
      </c>
      <c r="B6" s="9" t="s">
        <v>500</v>
      </c>
    </row>
    <row r="7" customFormat="false" ht="14.25" hidden="false" customHeight="true" outlineLevel="0" collapsed="false">
      <c r="A7" s="7" t="s">
        <v>501</v>
      </c>
      <c r="B7" s="7" t="s">
        <v>502</v>
      </c>
    </row>
    <row r="8" customFormat="false" ht="14.25" hidden="false" customHeight="true" outlineLevel="0" collapsed="false">
      <c r="A8" s="7" t="s">
        <v>503</v>
      </c>
      <c r="B8" s="7" t="s">
        <v>504</v>
      </c>
    </row>
    <row r="9" customFormat="false" ht="14.25" hidden="false" customHeight="true" outlineLevel="0" collapsed="false">
      <c r="A9" s="10" t="s">
        <v>505</v>
      </c>
      <c r="B9" s="10" t="s">
        <v>506</v>
      </c>
    </row>
    <row r="10" customFormat="false" ht="14.25" hidden="false" customHeight="true" outlineLevel="0" collapsed="false">
      <c r="A10" s="8" t="s">
        <v>505</v>
      </c>
      <c r="B10" s="8" t="s">
        <v>507</v>
      </c>
    </row>
    <row r="11" customFormat="false" ht="14.25" hidden="false" customHeight="true" outlineLevel="0" collapsed="false">
      <c r="A11" s="9" t="s">
        <v>505</v>
      </c>
      <c r="B11" s="9" t="s">
        <v>508</v>
      </c>
    </row>
    <row r="12" customFormat="false" ht="14.25" hidden="false" customHeight="true" outlineLevel="0" collapsed="false">
      <c r="A12" s="10" t="s">
        <v>509</v>
      </c>
      <c r="B12" s="10" t="s">
        <v>510</v>
      </c>
    </row>
    <row r="13" customFormat="false" ht="14.25" hidden="false" customHeight="true" outlineLevel="0" collapsed="false">
      <c r="A13" s="8" t="s">
        <v>509</v>
      </c>
      <c r="B13" s="8" t="s">
        <v>511</v>
      </c>
    </row>
    <row r="14" customFormat="false" ht="14.25" hidden="false" customHeight="true" outlineLevel="0" collapsed="false">
      <c r="A14" s="9" t="s">
        <v>509</v>
      </c>
      <c r="B14" s="9" t="s">
        <v>512</v>
      </c>
    </row>
    <row r="15" customFormat="false" ht="14.25" hidden="false" customHeight="true" outlineLevel="0" collapsed="false">
      <c r="A15" s="7" t="s">
        <v>513</v>
      </c>
      <c r="B15" s="7" t="s">
        <v>514</v>
      </c>
    </row>
    <row r="16" customFormat="false" ht="14.25" hidden="false" customHeight="true" outlineLevel="0" collapsed="false">
      <c r="A16" s="7" t="s">
        <v>26</v>
      </c>
      <c r="B16" s="7" t="s">
        <v>25</v>
      </c>
    </row>
    <row r="17" customFormat="false" ht="14.25" hidden="false" customHeight="true" outlineLevel="0" collapsed="false">
      <c r="A17" s="10" t="s">
        <v>515</v>
      </c>
      <c r="B17" s="10" t="s">
        <v>516</v>
      </c>
    </row>
    <row r="18" customFormat="false" ht="14.25" hidden="false" customHeight="true" outlineLevel="0" collapsed="false">
      <c r="A18" s="8" t="s">
        <v>515</v>
      </c>
      <c r="B18" s="8" t="s">
        <v>517</v>
      </c>
    </row>
    <row r="19" customFormat="false" ht="14.25" hidden="false" customHeight="true" outlineLevel="0" collapsed="false">
      <c r="A19" s="9" t="s">
        <v>515</v>
      </c>
      <c r="B19" s="9" t="s">
        <v>518</v>
      </c>
    </row>
    <row r="20" customFormat="false" ht="14.25" hidden="false" customHeight="true" outlineLevel="0" collapsed="false">
      <c r="A20" s="10" t="s">
        <v>519</v>
      </c>
      <c r="B20" s="10" t="s">
        <v>520</v>
      </c>
    </row>
    <row r="21" customFormat="false" ht="14.25" hidden="false" customHeight="true" outlineLevel="0" collapsed="false">
      <c r="A21" s="8" t="s">
        <v>519</v>
      </c>
      <c r="B21" s="8" t="s">
        <v>521</v>
      </c>
    </row>
    <row r="22" customFormat="false" ht="14.25" hidden="false" customHeight="true" outlineLevel="0" collapsed="false">
      <c r="A22" s="9" t="s">
        <v>519</v>
      </c>
      <c r="B22" s="9" t="s">
        <v>522</v>
      </c>
    </row>
    <row r="23" customFormat="false" ht="14.25" hidden="false" customHeight="true" outlineLevel="0" collapsed="false">
      <c r="A23" s="7" t="s">
        <v>14</v>
      </c>
      <c r="B23" s="7" t="s">
        <v>13</v>
      </c>
    </row>
    <row r="24" customFormat="false" ht="14.25" hidden="false" customHeight="true" outlineLevel="0" collapsed="false">
      <c r="A24" s="7" t="s">
        <v>6</v>
      </c>
      <c r="B24" s="7" t="s">
        <v>5</v>
      </c>
    </row>
    <row r="25" customFormat="false" ht="14.25" hidden="false" customHeight="true" outlineLevel="0" collapsed="false">
      <c r="A25" s="7" t="s">
        <v>8</v>
      </c>
      <c r="B25" s="7" t="s">
        <v>7</v>
      </c>
    </row>
    <row r="26" customFormat="false" ht="14.25" hidden="false" customHeight="true" outlineLevel="0" collapsed="false">
      <c r="A26" s="7" t="s">
        <v>523</v>
      </c>
      <c r="B26" s="7" t="s">
        <v>524</v>
      </c>
    </row>
    <row r="27" customFormat="false" ht="14.25" hidden="false" customHeight="true" outlineLevel="0" collapsed="false">
      <c r="A27" s="7" t="s">
        <v>24</v>
      </c>
      <c r="B27" s="7" t="s">
        <v>23</v>
      </c>
    </row>
    <row r="28" customFormat="false" ht="14.25" hidden="false" customHeight="true" outlineLevel="0" collapsed="false">
      <c r="A28" s="10" t="s">
        <v>525</v>
      </c>
      <c r="B28" s="10" t="s">
        <v>526</v>
      </c>
    </row>
    <row r="29" customFormat="false" ht="14.25" hidden="false" customHeight="true" outlineLevel="0" collapsed="false">
      <c r="A29" s="8" t="s">
        <v>525</v>
      </c>
      <c r="B29" s="8" t="s">
        <v>527</v>
      </c>
    </row>
    <row r="30" customFormat="false" ht="14.25" hidden="false" customHeight="true" outlineLevel="0" collapsed="false">
      <c r="A30" s="9" t="s">
        <v>525</v>
      </c>
      <c r="B30" s="9" t="s">
        <v>528</v>
      </c>
    </row>
    <row r="31" customFormat="false" ht="14.25" hidden="false" customHeight="true" outlineLevel="0" collapsed="false">
      <c r="A31" s="7" t="s">
        <v>529</v>
      </c>
      <c r="B31" s="7" t="s">
        <v>530</v>
      </c>
    </row>
    <row r="32" customFormat="false" ht="14.25" hidden="false" customHeight="true" outlineLevel="0" collapsed="false">
      <c r="A32" s="10" t="s">
        <v>531</v>
      </c>
      <c r="B32" s="10" t="s">
        <v>532</v>
      </c>
    </row>
    <row r="33" customFormat="false" ht="14.25" hidden="false" customHeight="true" outlineLevel="0" collapsed="false">
      <c r="A33" s="8" t="s">
        <v>531</v>
      </c>
      <c r="B33" s="8" t="s">
        <v>533</v>
      </c>
    </row>
    <row r="34" customFormat="false" ht="14.25" hidden="false" customHeight="true" outlineLevel="0" collapsed="false">
      <c r="A34" s="9" t="s">
        <v>531</v>
      </c>
      <c r="B34" s="9" t="s">
        <v>534</v>
      </c>
    </row>
    <row r="35" customFormat="false" ht="14.25" hidden="false" customHeight="true" outlineLevel="0" collapsed="false">
      <c r="A35" s="7" t="s">
        <v>535</v>
      </c>
      <c r="B35" s="7" t="s">
        <v>536</v>
      </c>
    </row>
    <row r="36" customFormat="false" ht="14.25" hidden="false" customHeight="true" outlineLevel="0" collapsed="false">
      <c r="A36" s="7" t="s">
        <v>537</v>
      </c>
      <c r="B36" s="7" t="s">
        <v>538</v>
      </c>
    </row>
    <row r="37" customFormat="false" ht="14.25" hidden="false" customHeight="true" outlineLevel="0" collapsed="false">
      <c r="A37" s="7" t="s">
        <v>539</v>
      </c>
      <c r="B37" s="7" t="s">
        <v>540</v>
      </c>
    </row>
    <row r="38" customFormat="false" ht="14.25" hidden="false" customHeight="true" outlineLevel="0" collapsed="false">
      <c r="A38" s="10" t="s">
        <v>541</v>
      </c>
      <c r="B38" s="10" t="s">
        <v>542</v>
      </c>
    </row>
    <row r="39" customFormat="false" ht="14.25" hidden="false" customHeight="true" outlineLevel="0" collapsed="false">
      <c r="A39" s="8" t="s">
        <v>541</v>
      </c>
      <c r="B39" s="8" t="s">
        <v>543</v>
      </c>
    </row>
    <row r="40" customFormat="false" ht="14.25" hidden="false" customHeight="true" outlineLevel="0" collapsed="false">
      <c r="A40" s="9" t="s">
        <v>541</v>
      </c>
      <c r="B40" s="9" t="s">
        <v>544</v>
      </c>
    </row>
    <row r="41" customFormat="false" ht="14.25" hidden="false" customHeight="true" outlineLevel="0" collapsed="false">
      <c r="A41" s="10" t="s">
        <v>545</v>
      </c>
      <c r="B41" s="10" t="s">
        <v>546</v>
      </c>
    </row>
    <row r="42" customFormat="false" ht="14.25" hidden="false" customHeight="true" outlineLevel="0" collapsed="false">
      <c r="A42" s="8" t="s">
        <v>545</v>
      </c>
      <c r="B42" s="8" t="s">
        <v>547</v>
      </c>
    </row>
    <row r="43" customFormat="false" ht="14.25" hidden="false" customHeight="true" outlineLevel="0" collapsed="false">
      <c r="A43" s="9" t="s">
        <v>545</v>
      </c>
      <c r="B43" s="9" t="s">
        <v>548</v>
      </c>
    </row>
    <row r="44" customFormat="false" ht="14.25" hidden="false" customHeight="true" outlineLevel="0" collapsed="false">
      <c r="A44" s="16" t="s">
        <v>549</v>
      </c>
      <c r="B44" s="16" t="s">
        <v>550</v>
      </c>
    </row>
    <row r="45" customFormat="false" ht="14.25" hidden="false" customHeight="true" outlineLevel="0" collapsed="false">
      <c r="A45" s="10" t="s">
        <v>551</v>
      </c>
      <c r="B45" s="10" t="s">
        <v>552</v>
      </c>
    </row>
    <row r="46" customFormat="false" ht="14.25" hidden="false" customHeight="true" outlineLevel="0" collapsed="false">
      <c r="A46" s="8" t="s">
        <v>551</v>
      </c>
      <c r="B46" s="8" t="s">
        <v>553</v>
      </c>
    </row>
    <row r="47" customFormat="false" ht="14.25" hidden="false" customHeight="true" outlineLevel="0" collapsed="false">
      <c r="A47" s="9" t="s">
        <v>551</v>
      </c>
      <c r="B47" s="9" t="s">
        <v>554</v>
      </c>
    </row>
    <row r="48" customFormat="false" ht="14.25" hidden="false" customHeight="true" outlineLevel="0" collapsed="false">
      <c r="A48" s="16" t="s">
        <v>555</v>
      </c>
      <c r="B48" s="16" t="s">
        <v>556</v>
      </c>
    </row>
    <row r="49" customFormat="false" ht="14.25" hidden="false" customHeight="true" outlineLevel="0" collapsed="false">
      <c r="A49" s="16" t="s">
        <v>557</v>
      </c>
      <c r="B49" s="16" t="s">
        <v>558</v>
      </c>
    </row>
    <row r="50" customFormat="false" ht="14.25" hidden="false" customHeight="true" outlineLevel="0" collapsed="false">
      <c r="A50" s="10" t="s">
        <v>559</v>
      </c>
      <c r="B50" s="10" t="s">
        <v>560</v>
      </c>
    </row>
    <row r="51" customFormat="false" ht="14.25" hidden="false" customHeight="true" outlineLevel="0" collapsed="false">
      <c r="A51" s="8" t="s">
        <v>559</v>
      </c>
      <c r="B51" s="8" t="s">
        <v>561</v>
      </c>
    </row>
    <row r="52" customFormat="false" ht="14.25" hidden="false" customHeight="true" outlineLevel="0" collapsed="false">
      <c r="A52" s="9" t="s">
        <v>559</v>
      </c>
      <c r="B52" s="9" t="s">
        <v>562</v>
      </c>
    </row>
    <row r="53" customFormat="false" ht="14.25" hidden="false" customHeight="true" outlineLevel="0" collapsed="false">
      <c r="A53" s="10" t="s">
        <v>563</v>
      </c>
      <c r="B53" s="10" t="s">
        <v>564</v>
      </c>
    </row>
    <row r="54" customFormat="false" ht="14.25" hidden="false" customHeight="true" outlineLevel="0" collapsed="false">
      <c r="A54" s="8" t="s">
        <v>563</v>
      </c>
      <c r="B54" s="8" t="s">
        <v>565</v>
      </c>
    </row>
    <row r="55" customFormat="false" ht="14.25" hidden="false" customHeight="true" outlineLevel="0" collapsed="false">
      <c r="A55" s="9" t="s">
        <v>563</v>
      </c>
      <c r="B55" s="9" t="s">
        <v>566</v>
      </c>
    </row>
    <row r="56" customFormat="false" ht="14.25" hidden="false" customHeight="true" outlineLevel="0" collapsed="false">
      <c r="A56" s="10" t="s">
        <v>567</v>
      </c>
      <c r="B56" s="10" t="s">
        <v>568</v>
      </c>
    </row>
    <row r="57" customFormat="false" ht="14.25" hidden="false" customHeight="true" outlineLevel="0" collapsed="false">
      <c r="A57" s="8" t="s">
        <v>567</v>
      </c>
      <c r="B57" s="8" t="s">
        <v>569</v>
      </c>
    </row>
    <row r="58" customFormat="false" ht="14.25" hidden="false" customHeight="true" outlineLevel="0" collapsed="false">
      <c r="A58" s="9" t="s">
        <v>567</v>
      </c>
      <c r="B58" s="9" t="s">
        <v>570</v>
      </c>
    </row>
    <row r="59" customFormat="false" ht="14.25" hidden="false" customHeight="true" outlineLevel="0" collapsed="false">
      <c r="A59" s="10" t="s">
        <v>571</v>
      </c>
      <c r="B59" s="10" t="s">
        <v>572</v>
      </c>
    </row>
    <row r="60" customFormat="false" ht="14.25" hidden="false" customHeight="true" outlineLevel="0" collapsed="false">
      <c r="A60" s="8" t="s">
        <v>571</v>
      </c>
      <c r="B60" s="8" t="s">
        <v>573</v>
      </c>
    </row>
    <row r="61" customFormat="false" ht="14.25" hidden="false" customHeight="true" outlineLevel="0" collapsed="false">
      <c r="A61" s="9" t="s">
        <v>571</v>
      </c>
      <c r="B61" s="9" t="s">
        <v>574</v>
      </c>
    </row>
    <row r="62" customFormat="false" ht="14.25" hidden="false" customHeight="true" outlineLevel="0" collapsed="false">
      <c r="A62" s="10" t="s">
        <v>29</v>
      </c>
      <c r="B62" s="10" t="s">
        <v>34</v>
      </c>
    </row>
    <row r="63" customFormat="false" ht="14.25" hidden="false" customHeight="true" outlineLevel="0" collapsed="false">
      <c r="A63" s="8" t="s">
        <v>29</v>
      </c>
      <c r="B63" s="8" t="s">
        <v>28</v>
      </c>
    </row>
    <row r="64" customFormat="false" ht="14.25" hidden="false" customHeight="true" outlineLevel="0" collapsed="false">
      <c r="A64" s="9" t="s">
        <v>29</v>
      </c>
      <c r="B64" s="9" t="s">
        <v>32</v>
      </c>
    </row>
    <row r="65" customFormat="false" ht="14.25" hidden="false" customHeight="true" outlineLevel="0" collapsed="false">
      <c r="A65" s="10" t="s">
        <v>575</v>
      </c>
      <c r="B65" s="10" t="s">
        <v>576</v>
      </c>
    </row>
    <row r="66" customFormat="false" ht="14.25" hidden="false" customHeight="true" outlineLevel="0" collapsed="false">
      <c r="A66" s="8" t="s">
        <v>575</v>
      </c>
      <c r="B66" s="8" t="s">
        <v>577</v>
      </c>
    </row>
    <row r="67" customFormat="false" ht="14.25" hidden="false" customHeight="true" outlineLevel="0" collapsed="false">
      <c r="A67" s="9" t="s">
        <v>575</v>
      </c>
      <c r="B67" s="9" t="s">
        <v>578</v>
      </c>
    </row>
    <row r="68" customFormat="false" ht="14.25" hidden="false" customHeight="true" outlineLevel="0" collapsed="false">
      <c r="A68" s="10" t="s">
        <v>579</v>
      </c>
      <c r="B68" s="10" t="s">
        <v>580</v>
      </c>
    </row>
    <row r="69" customFormat="false" ht="14.25" hidden="false" customHeight="true" outlineLevel="0" collapsed="false">
      <c r="A69" s="8" t="s">
        <v>579</v>
      </c>
      <c r="B69" s="8" t="s">
        <v>581</v>
      </c>
    </row>
    <row r="70" customFormat="false" ht="14.25" hidden="false" customHeight="true" outlineLevel="0" collapsed="false">
      <c r="A70" s="9" t="s">
        <v>579</v>
      </c>
      <c r="B70" s="9" t="s">
        <v>582</v>
      </c>
    </row>
    <row r="71" customFormat="false" ht="14.25" hidden="false" customHeight="true" outlineLevel="0" collapsed="false">
      <c r="A71" s="16" t="s">
        <v>583</v>
      </c>
      <c r="B71" s="16" t="s">
        <v>584</v>
      </c>
    </row>
    <row r="72" customFormat="false" ht="14.25" hidden="false" customHeight="true" outlineLevel="0" collapsed="false">
      <c r="A72" s="10" t="s">
        <v>585</v>
      </c>
      <c r="B72" s="10" t="s">
        <v>586</v>
      </c>
    </row>
    <row r="73" customFormat="false" ht="14.25" hidden="false" customHeight="true" outlineLevel="0" collapsed="false">
      <c r="A73" s="8" t="s">
        <v>585</v>
      </c>
      <c r="B73" s="8" t="s">
        <v>587</v>
      </c>
    </row>
    <row r="74" customFormat="false" ht="14.25" hidden="false" customHeight="true" outlineLevel="0" collapsed="false">
      <c r="A74" s="9" t="s">
        <v>585</v>
      </c>
      <c r="B74" s="9" t="s">
        <v>588</v>
      </c>
    </row>
    <row r="75" customFormat="false" ht="14.25" hidden="false" customHeight="true" outlineLevel="0" collapsed="false">
      <c r="A75" s="16" t="s">
        <v>589</v>
      </c>
      <c r="B75" s="16" t="s">
        <v>590</v>
      </c>
    </row>
    <row r="76" customFormat="false" ht="14.25" hidden="false" customHeight="true" outlineLevel="0" collapsed="false">
      <c r="A76" s="16" t="s">
        <v>591</v>
      </c>
      <c r="B76" s="16" t="s">
        <v>592</v>
      </c>
    </row>
    <row r="77" customFormat="false" ht="14.25" hidden="false" customHeight="true" outlineLevel="0" collapsed="false">
      <c r="A77" s="16" t="s">
        <v>593</v>
      </c>
      <c r="B77" s="16" t="s">
        <v>594</v>
      </c>
    </row>
    <row r="78" customFormat="false" ht="14.25" hidden="false" customHeight="true" outlineLevel="0" collapsed="false">
      <c r="A78" s="10" t="s">
        <v>595</v>
      </c>
      <c r="B78" s="10" t="s">
        <v>596</v>
      </c>
    </row>
    <row r="79" customFormat="false" ht="14.25" hidden="false" customHeight="true" outlineLevel="0" collapsed="false">
      <c r="A79" s="8" t="s">
        <v>595</v>
      </c>
      <c r="B79" s="8" t="s">
        <v>597</v>
      </c>
    </row>
    <row r="80" customFormat="false" ht="14.25" hidden="false" customHeight="true" outlineLevel="0" collapsed="false">
      <c r="A80" s="9" t="s">
        <v>595</v>
      </c>
      <c r="B80" s="9" t="s">
        <v>598</v>
      </c>
    </row>
    <row r="81" customFormat="false" ht="14.25" hidden="false" customHeight="true" outlineLevel="0" collapsed="false">
      <c r="A81" s="16" t="s">
        <v>599</v>
      </c>
      <c r="B81" s="16" t="s">
        <v>600</v>
      </c>
    </row>
    <row r="82" customFormat="false" ht="14.25" hidden="false" customHeight="true" outlineLevel="0" collapsed="false">
      <c r="A82" s="16" t="s">
        <v>18</v>
      </c>
      <c r="B82" s="16" t="s">
        <v>17</v>
      </c>
    </row>
    <row r="83" customFormat="false" ht="14.25" hidden="false" customHeight="true" outlineLevel="0" collapsed="false">
      <c r="A83" s="16" t="s">
        <v>601</v>
      </c>
      <c r="B83" s="16" t="s">
        <v>602</v>
      </c>
    </row>
    <row r="84" customFormat="false" ht="14.25" hidden="false" customHeight="true" outlineLevel="0" collapsed="false">
      <c r="A84" s="10" t="s">
        <v>603</v>
      </c>
      <c r="B84" s="10" t="s">
        <v>604</v>
      </c>
    </row>
    <row r="85" customFormat="false" ht="14.25" hidden="false" customHeight="true" outlineLevel="0" collapsed="false">
      <c r="A85" s="8" t="s">
        <v>603</v>
      </c>
      <c r="B85" s="8" t="s">
        <v>605</v>
      </c>
    </row>
    <row r="86" customFormat="false" ht="14.25" hidden="false" customHeight="true" outlineLevel="0" collapsed="false">
      <c r="A86" s="9" t="s">
        <v>603</v>
      </c>
      <c r="B86" s="9" t="s">
        <v>606</v>
      </c>
    </row>
    <row r="87" customFormat="false" ht="14.25" hidden="false" customHeight="true" outlineLevel="0" collapsed="false">
      <c r="A87" s="16" t="s">
        <v>20</v>
      </c>
      <c r="B87" s="16" t="s">
        <v>19</v>
      </c>
    </row>
    <row r="88" customFormat="false" ht="14.25" hidden="false" customHeight="true" outlineLevel="0" collapsed="false">
      <c r="A88" s="16" t="s">
        <v>607</v>
      </c>
      <c r="B88" s="16" t="s">
        <v>608</v>
      </c>
    </row>
    <row r="89" customFormat="false" ht="14.25" hidden="false" customHeight="true" outlineLevel="0" collapsed="false">
      <c r="A89" s="16" t="s">
        <v>609</v>
      </c>
      <c r="B89" s="16" t="s">
        <v>610</v>
      </c>
    </row>
    <row r="90" customFormat="false" ht="14.25" hidden="false" customHeight="true" outlineLevel="0" collapsed="false">
      <c r="A90" s="16" t="s">
        <v>611</v>
      </c>
      <c r="B90" s="16" t="s">
        <v>612</v>
      </c>
    </row>
    <row r="91" customFormat="false" ht="14.25" hidden="false" customHeight="true" outlineLevel="0" collapsed="false">
      <c r="A91" s="16" t="s">
        <v>613</v>
      </c>
      <c r="B91" s="16" t="s">
        <v>614</v>
      </c>
    </row>
    <row r="92" customFormat="false" ht="14.25" hidden="false" customHeight="true" outlineLevel="0" collapsed="false">
      <c r="A92" s="16" t="s">
        <v>615</v>
      </c>
      <c r="B92" s="16" t="s">
        <v>616</v>
      </c>
    </row>
    <row r="93" customFormat="false" ht="14.25" hidden="false" customHeight="true" outlineLevel="0" collapsed="false">
      <c r="A93" s="16" t="s">
        <v>617</v>
      </c>
      <c r="B93" s="16" t="s">
        <v>618</v>
      </c>
    </row>
    <row r="94" customFormat="false" ht="14.25" hidden="false" customHeight="true" outlineLevel="0" collapsed="false">
      <c r="A94" s="16" t="s">
        <v>619</v>
      </c>
      <c r="B94" s="16" t="s">
        <v>620</v>
      </c>
    </row>
    <row r="95" customFormat="false" ht="14.25" hidden="false" customHeight="true" outlineLevel="0" collapsed="false">
      <c r="A95" s="16" t="s">
        <v>621</v>
      </c>
      <c r="B95" s="16" t="s">
        <v>622</v>
      </c>
    </row>
    <row r="96" customFormat="false" ht="14.25" hidden="false" customHeight="true" outlineLevel="0" collapsed="false">
      <c r="A96" s="16" t="s">
        <v>623</v>
      </c>
      <c r="B96" s="16" t="s">
        <v>624</v>
      </c>
    </row>
    <row r="97" customFormat="false" ht="14.25" hidden="false" customHeight="true" outlineLevel="0" collapsed="false">
      <c r="A97" s="16" t="s">
        <v>625</v>
      </c>
      <c r="B97" s="16" t="s">
        <v>626</v>
      </c>
    </row>
    <row r="98" customFormat="false" ht="14.25" hidden="false" customHeight="true" outlineLevel="0" collapsed="false">
      <c r="A98" s="16" t="s">
        <v>16</v>
      </c>
      <c r="B98" s="16" t="s">
        <v>15</v>
      </c>
    </row>
    <row r="99" customFormat="false" ht="14.25" hidden="false" customHeight="true" outlineLevel="0" collapsed="false">
      <c r="A99" s="10" t="s">
        <v>627</v>
      </c>
      <c r="B99" s="10" t="s">
        <v>628</v>
      </c>
    </row>
    <row r="100" customFormat="false" ht="14.25" hidden="false" customHeight="true" outlineLevel="0" collapsed="false">
      <c r="A100" s="8" t="s">
        <v>627</v>
      </c>
      <c r="B100" s="8" t="s">
        <v>629</v>
      </c>
    </row>
    <row r="101" customFormat="false" ht="14.25" hidden="false" customHeight="true" outlineLevel="0" collapsed="false">
      <c r="A101" s="9" t="s">
        <v>627</v>
      </c>
      <c r="B101" s="9" t="s">
        <v>630</v>
      </c>
    </row>
    <row r="102" customFormat="false" ht="14.25" hidden="false" customHeight="true" outlineLevel="0" collapsed="false">
      <c r="A102" s="10" t="s">
        <v>631</v>
      </c>
      <c r="B102" s="10" t="s">
        <v>632</v>
      </c>
    </row>
    <row r="103" customFormat="false" ht="14.25" hidden="false" customHeight="true" outlineLevel="0" collapsed="false">
      <c r="A103" s="8" t="s">
        <v>631</v>
      </c>
      <c r="B103" s="8" t="s">
        <v>633</v>
      </c>
    </row>
    <row r="104" customFormat="false" ht="14.25" hidden="false" customHeight="true" outlineLevel="0" collapsed="false">
      <c r="A104" s="9" t="s">
        <v>631</v>
      </c>
      <c r="B104" s="9" t="s">
        <v>634</v>
      </c>
    </row>
    <row r="105" customFormat="false" ht="14.25" hidden="false" customHeight="true" outlineLevel="0" collapsed="false">
      <c r="A105" s="10" t="s">
        <v>635</v>
      </c>
      <c r="B105" s="10" t="s">
        <v>636</v>
      </c>
    </row>
    <row r="106" customFormat="false" ht="14.25" hidden="false" customHeight="true" outlineLevel="0" collapsed="false">
      <c r="A106" s="8" t="s">
        <v>635</v>
      </c>
      <c r="B106" s="8" t="s">
        <v>637</v>
      </c>
    </row>
    <row r="107" customFormat="false" ht="14.25" hidden="false" customHeight="true" outlineLevel="0" collapsed="false">
      <c r="A107" s="9" t="s">
        <v>635</v>
      </c>
      <c r="B107" s="9" t="s">
        <v>638</v>
      </c>
    </row>
    <row r="108" customFormat="false" ht="14.25" hidden="false" customHeight="true" outlineLevel="0" collapsed="false">
      <c r="A108" s="16" t="s">
        <v>639</v>
      </c>
      <c r="B108" s="16" t="s">
        <v>640</v>
      </c>
    </row>
    <row r="109" customFormat="false" ht="14.25" hidden="false" customHeight="true" outlineLevel="0" collapsed="false">
      <c r="A109" s="16" t="s">
        <v>641</v>
      </c>
      <c r="B109" s="16" t="s">
        <v>642</v>
      </c>
    </row>
    <row r="110" customFormat="false" ht="14.25" hidden="false" customHeight="true" outlineLevel="0" collapsed="false">
      <c r="A110" s="10" t="s">
        <v>643</v>
      </c>
      <c r="B110" s="10" t="s">
        <v>644</v>
      </c>
    </row>
    <row r="111" customFormat="false" ht="14.25" hidden="false" customHeight="true" outlineLevel="0" collapsed="false">
      <c r="A111" s="8" t="s">
        <v>643</v>
      </c>
      <c r="B111" s="8" t="s">
        <v>645</v>
      </c>
    </row>
    <row r="112" customFormat="false" ht="14.25" hidden="false" customHeight="true" outlineLevel="0" collapsed="false">
      <c r="A112" s="9" t="s">
        <v>643</v>
      </c>
      <c r="B112" s="9" t="s">
        <v>646</v>
      </c>
    </row>
    <row r="113" customFormat="false" ht="14.25" hidden="false" customHeight="true" outlineLevel="0" collapsed="false">
      <c r="A113" s="10" t="s">
        <v>647</v>
      </c>
      <c r="B113" s="10" t="s">
        <v>648</v>
      </c>
    </row>
    <row r="114" customFormat="false" ht="14.25" hidden="false" customHeight="true" outlineLevel="0" collapsed="false">
      <c r="A114" s="8" t="s">
        <v>647</v>
      </c>
      <c r="B114" s="8" t="s">
        <v>649</v>
      </c>
    </row>
    <row r="115" customFormat="false" ht="14.25" hidden="false" customHeight="true" outlineLevel="0" collapsed="false">
      <c r="A115" s="9" t="s">
        <v>647</v>
      </c>
      <c r="B115" s="9" t="s">
        <v>650</v>
      </c>
    </row>
    <row r="116" customFormat="false" ht="14.25" hidden="false" customHeight="true" outlineLevel="0" collapsed="false">
      <c r="A116" s="10" t="s">
        <v>651</v>
      </c>
      <c r="B116" s="10" t="s">
        <v>652</v>
      </c>
    </row>
    <row r="117" customFormat="false" ht="14.25" hidden="false" customHeight="true" outlineLevel="0" collapsed="false">
      <c r="A117" s="8" t="s">
        <v>651</v>
      </c>
      <c r="B117" s="8" t="s">
        <v>653</v>
      </c>
    </row>
    <row r="118" customFormat="false" ht="14.25" hidden="false" customHeight="true" outlineLevel="0" collapsed="false">
      <c r="A118" s="9" t="s">
        <v>651</v>
      </c>
      <c r="B118" s="9" t="s">
        <v>654</v>
      </c>
    </row>
    <row r="119" customFormat="false" ht="14.25" hidden="false" customHeight="true" outlineLevel="0" collapsed="false">
      <c r="A119" s="18" t="s">
        <v>655</v>
      </c>
      <c r="B119" s="18" t="s">
        <v>656</v>
      </c>
    </row>
    <row r="120" customFormat="false" ht="14.25" hidden="false" customHeight="true" outlineLevel="0" collapsed="false">
      <c r="A120" s="10" t="s">
        <v>657</v>
      </c>
      <c r="B120" s="10" t="s">
        <v>658</v>
      </c>
    </row>
    <row r="121" customFormat="false" ht="14.25" hidden="false" customHeight="true" outlineLevel="0" collapsed="false">
      <c r="A121" s="8" t="s">
        <v>657</v>
      </c>
      <c r="B121" s="8" t="s">
        <v>659</v>
      </c>
    </row>
    <row r="122" customFormat="false" ht="14.25" hidden="false" customHeight="true" outlineLevel="0" collapsed="false">
      <c r="A122" s="9" t="s">
        <v>657</v>
      </c>
      <c r="B122" s="9" t="s">
        <v>660</v>
      </c>
    </row>
    <row r="123" customFormat="false" ht="14.25" hidden="false" customHeight="true" outlineLevel="0" collapsed="false">
      <c r="A123" s="16" t="s">
        <v>661</v>
      </c>
      <c r="B123" s="16" t="s">
        <v>662</v>
      </c>
    </row>
    <row r="124" customFormat="false" ht="14.25" hidden="false" customHeight="true" outlineLevel="0" collapsed="false">
      <c r="A124" s="16" t="s">
        <v>10</v>
      </c>
      <c r="B124" s="16" t="s">
        <v>9</v>
      </c>
    </row>
    <row r="125" customFormat="false" ht="14.25" hidden="false" customHeight="true" outlineLevel="0" collapsed="false">
      <c r="A125" s="16" t="s">
        <v>22</v>
      </c>
      <c r="B125" s="16" t="s">
        <v>21</v>
      </c>
    </row>
    <row r="126" customFormat="false" ht="14.25" hidden="false" customHeight="true" outlineLevel="0" collapsed="false">
      <c r="A126" s="7" t="s">
        <v>663</v>
      </c>
      <c r="B126" s="7" t="s">
        <v>664</v>
      </c>
    </row>
    <row r="127" customFormat="false" ht="14.25" hidden="false" customHeight="true" outlineLevel="0" collapsed="false">
      <c r="A127" s="7" t="s">
        <v>665</v>
      </c>
      <c r="B127" s="7" t="s">
        <v>666</v>
      </c>
    </row>
    <row r="128" customFormat="false" ht="14.25" hidden="false" customHeight="true" outlineLevel="0" collapsed="false">
      <c r="A128" s="7" t="s">
        <v>667</v>
      </c>
      <c r="B128" s="7" t="s">
        <v>668</v>
      </c>
    </row>
    <row r="129" customFormat="false" ht="14.25" hidden="false" customHeight="true" outlineLevel="0" collapsed="false">
      <c r="A129" s="7"/>
    </row>
    <row r="130" customFormat="false" ht="14.25" hidden="false" customHeight="true" outlineLevel="0" collapsed="false">
      <c r="A130" s="7"/>
    </row>
    <row r="131" customFormat="false" ht="14.25" hidden="false" customHeight="true" outlineLevel="0" collapsed="false">
      <c r="A131" s="7"/>
    </row>
    <row r="132" customFormat="false" ht="14.25" hidden="false" customHeight="true" outlineLevel="0" collapsed="false">
      <c r="A132" s="7"/>
    </row>
    <row r="133" customFormat="false" ht="14.25" hidden="false" customHeight="true" outlineLevel="0" collapsed="false">
      <c r="A133" s="7"/>
    </row>
    <row r="134" customFormat="false" ht="14.25" hidden="false" customHeight="true" outlineLevel="0" collapsed="false">
      <c r="A134" s="7"/>
    </row>
    <row r="135" customFormat="false" ht="14.25" hidden="false" customHeight="true" outlineLevel="0" collapsed="false">
      <c r="A135" s="7"/>
    </row>
    <row r="136" customFormat="false" ht="14.25" hidden="false" customHeight="true" outlineLevel="0" collapsed="false">
      <c r="A136" s="7"/>
    </row>
    <row r="137" customFormat="false" ht="14.25" hidden="false" customHeight="true" outlineLevel="0" collapsed="false">
      <c r="A137" s="7"/>
    </row>
    <row r="138" customFormat="false" ht="14.25" hidden="false" customHeight="true" outlineLevel="0" collapsed="false">
      <c r="A138" s="7"/>
    </row>
    <row r="139" customFormat="false" ht="14.25" hidden="false" customHeight="true" outlineLevel="0" collapsed="false">
      <c r="A139" s="7"/>
    </row>
    <row r="140" customFormat="false" ht="14.25" hidden="false" customHeight="true" outlineLevel="0" collapsed="false">
      <c r="A140" s="7"/>
    </row>
    <row r="141" customFormat="false" ht="14.25" hidden="false" customHeight="true" outlineLevel="0" collapsed="false">
      <c r="A141" s="7"/>
    </row>
    <row r="142" customFormat="false" ht="14.25" hidden="false" customHeight="true" outlineLevel="0" collapsed="false">
      <c r="A142" s="7"/>
    </row>
    <row r="143" customFormat="false" ht="14.25" hidden="false" customHeight="true" outlineLevel="0" collapsed="false">
      <c r="A143" s="7"/>
    </row>
    <row r="144" customFormat="false" ht="14.25" hidden="false" customHeight="true" outlineLevel="0" collapsed="false">
      <c r="A144" s="7"/>
    </row>
    <row r="145" customFormat="false" ht="14.25" hidden="false" customHeight="true" outlineLevel="0" collapsed="false">
      <c r="A145" s="7"/>
    </row>
    <row r="146" customFormat="false" ht="14.25" hidden="false" customHeight="true" outlineLevel="0" collapsed="false">
      <c r="A146" s="7"/>
    </row>
    <row r="147" customFormat="false" ht="14.25" hidden="false" customHeight="true" outlineLevel="0" collapsed="false">
      <c r="A147" s="7"/>
    </row>
    <row r="148" customFormat="false" ht="14.25" hidden="false" customHeight="true" outlineLevel="0" collapsed="false">
      <c r="A148" s="7"/>
    </row>
    <row r="149" customFormat="false" ht="14.25" hidden="false" customHeight="true" outlineLevel="0" collapsed="false">
      <c r="A149" s="7"/>
    </row>
    <row r="150" customFormat="false" ht="14.25" hidden="false" customHeight="true" outlineLevel="0" collapsed="false">
      <c r="A150" s="7"/>
    </row>
    <row r="151" customFormat="false" ht="14.25" hidden="false" customHeight="true" outlineLevel="0" collapsed="false">
      <c r="A151" s="7"/>
    </row>
    <row r="152" customFormat="false" ht="14.25" hidden="false" customHeight="true" outlineLevel="0" collapsed="false">
      <c r="A152" s="7"/>
    </row>
    <row r="153" customFormat="false" ht="14.25" hidden="false" customHeight="true" outlineLevel="0" collapsed="false">
      <c r="A153" s="7"/>
    </row>
    <row r="154" customFormat="false" ht="14.25" hidden="false" customHeight="true" outlineLevel="0" collapsed="false">
      <c r="A154" s="7"/>
    </row>
    <row r="155" customFormat="false" ht="14.25" hidden="false" customHeight="true" outlineLevel="0" collapsed="false">
      <c r="A155" s="7"/>
    </row>
    <row r="156" customFormat="false" ht="14.25" hidden="false" customHeight="true" outlineLevel="0" collapsed="false">
      <c r="A156" s="7"/>
    </row>
    <row r="157" customFormat="false" ht="14.25" hidden="false" customHeight="true" outlineLevel="0" collapsed="false">
      <c r="A157" s="7"/>
    </row>
    <row r="158" customFormat="false" ht="14.25" hidden="false" customHeight="true" outlineLevel="0" collapsed="false">
      <c r="A158" s="7"/>
    </row>
    <row r="159" customFormat="false" ht="14.25" hidden="false" customHeight="true" outlineLevel="0" collapsed="false">
      <c r="A159" s="7"/>
    </row>
    <row r="160" customFormat="false" ht="14.25" hidden="false" customHeight="true" outlineLevel="0" collapsed="false">
      <c r="A160" s="7"/>
    </row>
    <row r="161" customFormat="false" ht="14.25" hidden="false" customHeight="true" outlineLevel="0" collapsed="false">
      <c r="A161" s="7"/>
    </row>
    <row r="162" customFormat="false" ht="14.25" hidden="false" customHeight="true" outlineLevel="0" collapsed="false">
      <c r="A162" s="7"/>
    </row>
    <row r="163" customFormat="false" ht="14.25" hidden="false" customHeight="true" outlineLevel="0" collapsed="false">
      <c r="A163" s="7"/>
    </row>
    <row r="164" customFormat="false" ht="14.25" hidden="false" customHeight="true" outlineLevel="0" collapsed="false">
      <c r="A164" s="7"/>
    </row>
    <row r="165" customFormat="false" ht="14.25" hidden="false" customHeight="true" outlineLevel="0" collapsed="false">
      <c r="A165" s="7"/>
    </row>
    <row r="166" customFormat="false" ht="14.25" hidden="false" customHeight="true" outlineLevel="0" collapsed="false">
      <c r="A166" s="7"/>
    </row>
    <row r="167" customFormat="false" ht="14.25" hidden="false" customHeight="true" outlineLevel="0" collapsed="false">
      <c r="A167" s="7"/>
    </row>
    <row r="168" customFormat="false" ht="14.25" hidden="false" customHeight="true" outlineLevel="0" collapsed="false">
      <c r="A168" s="7"/>
    </row>
    <row r="169" customFormat="false" ht="14.25" hidden="false" customHeight="true" outlineLevel="0" collapsed="false">
      <c r="A169" s="7"/>
    </row>
    <row r="170" customFormat="false" ht="14.25" hidden="false" customHeight="true" outlineLevel="0" collapsed="false">
      <c r="A170" s="7"/>
    </row>
    <row r="171" customFormat="false" ht="14.25" hidden="false" customHeight="true" outlineLevel="0" collapsed="false">
      <c r="A171" s="7"/>
    </row>
    <row r="172" customFormat="false" ht="14.25" hidden="false" customHeight="true" outlineLevel="0" collapsed="false">
      <c r="A172" s="7"/>
    </row>
    <row r="173" customFormat="false" ht="14.25" hidden="false" customHeight="true" outlineLevel="0" collapsed="false">
      <c r="A173" s="7"/>
    </row>
    <row r="174" customFormat="false" ht="14.25" hidden="false" customHeight="true" outlineLevel="0" collapsed="false">
      <c r="A174" s="7"/>
    </row>
    <row r="175" customFormat="false" ht="14.25" hidden="false" customHeight="true" outlineLevel="0" collapsed="false">
      <c r="A175" s="7"/>
    </row>
    <row r="176" customFormat="false" ht="14.25" hidden="false" customHeight="true" outlineLevel="0" collapsed="false">
      <c r="A176" s="7"/>
    </row>
    <row r="177" customFormat="false" ht="14.25" hidden="false" customHeight="true" outlineLevel="0" collapsed="false">
      <c r="A177" s="7"/>
    </row>
    <row r="178" customFormat="false" ht="14.25" hidden="false" customHeight="true" outlineLevel="0" collapsed="false">
      <c r="A178" s="7"/>
    </row>
    <row r="179" customFormat="false" ht="14.25" hidden="false" customHeight="true" outlineLevel="0" collapsed="false">
      <c r="A179" s="7"/>
    </row>
    <row r="180" customFormat="false" ht="14.25" hidden="false" customHeight="true" outlineLevel="0" collapsed="false">
      <c r="A180" s="7"/>
    </row>
    <row r="181" customFormat="false" ht="14.25" hidden="false" customHeight="true" outlineLevel="0" collapsed="false">
      <c r="A181" s="7"/>
    </row>
    <row r="182" customFormat="false" ht="14.25" hidden="false" customHeight="true" outlineLevel="0" collapsed="false">
      <c r="A182" s="7"/>
    </row>
    <row r="183" customFormat="false" ht="14.25" hidden="false" customHeight="true" outlineLevel="0" collapsed="false">
      <c r="A183" s="7"/>
    </row>
    <row r="184" customFormat="false" ht="14.25" hidden="false" customHeight="true" outlineLevel="0" collapsed="false">
      <c r="A184" s="7"/>
    </row>
    <row r="185" customFormat="false" ht="14.25" hidden="false" customHeight="true" outlineLevel="0" collapsed="false">
      <c r="A185" s="7"/>
    </row>
    <row r="186" customFormat="false" ht="14.25" hidden="false" customHeight="true" outlineLevel="0" collapsed="false">
      <c r="A186" s="7"/>
    </row>
    <row r="187" customFormat="false" ht="14.25" hidden="false" customHeight="true" outlineLevel="0" collapsed="false">
      <c r="A187" s="7"/>
    </row>
    <row r="188" customFormat="false" ht="14.25" hidden="false" customHeight="true" outlineLevel="0" collapsed="false">
      <c r="A188" s="7"/>
    </row>
    <row r="189" customFormat="false" ht="14.25" hidden="false" customHeight="true" outlineLevel="0" collapsed="false">
      <c r="A189" s="7"/>
    </row>
    <row r="190" customFormat="false" ht="14.25" hidden="false" customHeight="true" outlineLevel="0" collapsed="false">
      <c r="A190" s="7"/>
    </row>
    <row r="191" customFormat="false" ht="14.25" hidden="false" customHeight="true" outlineLevel="0" collapsed="false">
      <c r="A191" s="7"/>
    </row>
    <row r="192" customFormat="false" ht="14.25" hidden="false" customHeight="true" outlineLevel="0" collapsed="false">
      <c r="A192" s="7"/>
    </row>
    <row r="193" customFormat="false" ht="14.25" hidden="false" customHeight="true" outlineLevel="0" collapsed="false">
      <c r="A193" s="7"/>
    </row>
    <row r="194" customFormat="false" ht="14.25" hidden="false" customHeight="true" outlineLevel="0" collapsed="false">
      <c r="A194" s="7"/>
    </row>
    <row r="195" customFormat="false" ht="14.25" hidden="false" customHeight="true" outlineLevel="0" collapsed="false">
      <c r="A195" s="7"/>
    </row>
    <row r="196" customFormat="false" ht="14.25" hidden="false" customHeight="true" outlineLevel="0" collapsed="false">
      <c r="A196" s="7"/>
    </row>
    <row r="197" customFormat="false" ht="14.25" hidden="false" customHeight="true" outlineLevel="0" collapsed="false">
      <c r="A197" s="7"/>
    </row>
    <row r="198" customFormat="false" ht="14.25" hidden="false" customHeight="true" outlineLevel="0" collapsed="false">
      <c r="A198" s="7"/>
    </row>
    <row r="199" customFormat="false" ht="14.25" hidden="false" customHeight="true" outlineLevel="0" collapsed="false">
      <c r="A199" s="7"/>
    </row>
    <row r="200" customFormat="false" ht="14.25" hidden="false" customHeight="true" outlineLevel="0" collapsed="false">
      <c r="A200" s="7"/>
    </row>
    <row r="201" customFormat="false" ht="14.25" hidden="false" customHeight="true" outlineLevel="0" collapsed="false">
      <c r="A201" s="7"/>
    </row>
    <row r="202" customFormat="false" ht="14.25" hidden="false" customHeight="true" outlineLevel="0" collapsed="false">
      <c r="A202" s="7"/>
    </row>
    <row r="203" customFormat="false" ht="14.25" hidden="false" customHeight="true" outlineLevel="0" collapsed="false">
      <c r="A203" s="7"/>
    </row>
    <row r="204" customFormat="false" ht="14.25" hidden="false" customHeight="true" outlineLevel="0" collapsed="false">
      <c r="A204" s="7"/>
    </row>
    <row r="205" customFormat="false" ht="14.25" hidden="false" customHeight="true" outlineLevel="0" collapsed="false">
      <c r="A205" s="7"/>
    </row>
    <row r="206" customFormat="false" ht="14.25" hidden="false" customHeight="true" outlineLevel="0" collapsed="false">
      <c r="A206" s="7"/>
    </row>
    <row r="207" customFormat="false" ht="14.25" hidden="false" customHeight="true" outlineLevel="0" collapsed="false">
      <c r="A207" s="7"/>
    </row>
    <row r="208" customFormat="false" ht="14.25" hidden="false" customHeight="true" outlineLevel="0" collapsed="false">
      <c r="A208" s="7"/>
    </row>
    <row r="209" customFormat="false" ht="14.25" hidden="false" customHeight="true" outlineLevel="0" collapsed="false">
      <c r="A209" s="7"/>
    </row>
    <row r="210" customFormat="false" ht="14.25" hidden="false" customHeight="true" outlineLevel="0" collapsed="false">
      <c r="A210" s="7"/>
    </row>
    <row r="211" customFormat="false" ht="14.25" hidden="false" customHeight="true" outlineLevel="0" collapsed="false">
      <c r="A211" s="7"/>
    </row>
    <row r="212" customFormat="false" ht="14.25" hidden="false" customHeight="true" outlineLevel="0" collapsed="false">
      <c r="A212" s="7"/>
    </row>
    <row r="213" customFormat="false" ht="14.25" hidden="false" customHeight="true" outlineLevel="0" collapsed="false">
      <c r="A213" s="7"/>
    </row>
    <row r="214" customFormat="false" ht="14.25" hidden="false" customHeight="true" outlineLevel="0" collapsed="false">
      <c r="A214" s="7"/>
    </row>
    <row r="215" customFormat="false" ht="14.25" hidden="false" customHeight="true" outlineLevel="0" collapsed="false">
      <c r="A215" s="7"/>
    </row>
    <row r="216" customFormat="false" ht="14.25" hidden="false" customHeight="true" outlineLevel="0" collapsed="false">
      <c r="A216" s="7"/>
    </row>
    <row r="217" customFormat="false" ht="14.25" hidden="false" customHeight="true" outlineLevel="0" collapsed="false">
      <c r="A217" s="7"/>
    </row>
    <row r="218" customFormat="false" ht="14.25" hidden="false" customHeight="true" outlineLevel="0" collapsed="false">
      <c r="A218" s="7"/>
    </row>
    <row r="219" customFormat="false" ht="14.25" hidden="false" customHeight="true" outlineLevel="0" collapsed="false">
      <c r="A219" s="7"/>
    </row>
    <row r="220" customFormat="false" ht="14.25" hidden="false" customHeight="true" outlineLevel="0" collapsed="false">
      <c r="A220" s="7"/>
    </row>
    <row r="221" customFormat="false" ht="14.25" hidden="false" customHeight="true" outlineLevel="0" collapsed="false">
      <c r="A221" s="7"/>
    </row>
    <row r="222" customFormat="false" ht="14.25" hidden="false" customHeight="true" outlineLevel="0" collapsed="false">
      <c r="A222" s="7"/>
    </row>
    <row r="223" customFormat="false" ht="14.25" hidden="false" customHeight="true" outlineLevel="0" collapsed="false">
      <c r="A223" s="7"/>
    </row>
    <row r="224" customFormat="false" ht="14.25" hidden="false" customHeight="true" outlineLevel="0" collapsed="false">
      <c r="A224" s="7"/>
    </row>
    <row r="225" customFormat="false" ht="14.25" hidden="false" customHeight="true" outlineLevel="0" collapsed="false">
      <c r="A225" s="7"/>
    </row>
    <row r="226" customFormat="false" ht="14.25" hidden="false" customHeight="true" outlineLevel="0" collapsed="false">
      <c r="A226" s="7"/>
    </row>
    <row r="227" customFormat="false" ht="14.25" hidden="false" customHeight="true" outlineLevel="0" collapsed="false">
      <c r="A227" s="7"/>
    </row>
    <row r="228" customFormat="false" ht="14.25" hidden="false" customHeight="true" outlineLevel="0" collapsed="false">
      <c r="A228" s="7"/>
    </row>
    <row r="229" customFormat="false" ht="14.25" hidden="false" customHeight="true" outlineLevel="0" collapsed="false">
      <c r="A229" s="7"/>
    </row>
    <row r="230" customFormat="false" ht="14.25" hidden="false" customHeight="true" outlineLevel="0" collapsed="false">
      <c r="A230" s="7"/>
    </row>
    <row r="231" customFormat="false" ht="14.25" hidden="false" customHeight="true" outlineLevel="0" collapsed="false">
      <c r="A231" s="7"/>
    </row>
    <row r="232" customFormat="false" ht="14.25" hidden="false" customHeight="true" outlineLevel="0" collapsed="false">
      <c r="A232" s="7"/>
    </row>
    <row r="233" customFormat="false" ht="14.25" hidden="false" customHeight="true" outlineLevel="0" collapsed="false">
      <c r="A233" s="7"/>
    </row>
    <row r="234" customFormat="false" ht="14.25" hidden="false" customHeight="true" outlineLevel="0" collapsed="false">
      <c r="A234" s="7"/>
    </row>
    <row r="235" customFormat="false" ht="14.25" hidden="false" customHeight="true" outlineLevel="0" collapsed="false">
      <c r="A235" s="7"/>
    </row>
    <row r="236" customFormat="false" ht="14.25" hidden="false" customHeight="true" outlineLevel="0" collapsed="false">
      <c r="A236" s="7"/>
    </row>
    <row r="237" customFormat="false" ht="14.25" hidden="false" customHeight="true" outlineLevel="0" collapsed="false">
      <c r="A237" s="7"/>
    </row>
    <row r="238" customFormat="false" ht="14.25" hidden="false" customHeight="true" outlineLevel="0" collapsed="false">
      <c r="A238" s="7"/>
    </row>
    <row r="239" customFormat="false" ht="14.25" hidden="false" customHeight="true" outlineLevel="0" collapsed="false">
      <c r="A239" s="7"/>
    </row>
    <row r="240" customFormat="false" ht="14.25" hidden="false" customHeight="true" outlineLevel="0" collapsed="false">
      <c r="A240" s="7"/>
    </row>
    <row r="241" customFormat="false" ht="14.25" hidden="false" customHeight="true" outlineLevel="0" collapsed="false">
      <c r="A241" s="7"/>
    </row>
    <row r="242" customFormat="false" ht="14.25" hidden="false" customHeight="true" outlineLevel="0" collapsed="false">
      <c r="A242" s="7"/>
    </row>
    <row r="243" customFormat="false" ht="14.25" hidden="false" customHeight="true" outlineLevel="0" collapsed="false">
      <c r="A243" s="7"/>
    </row>
    <row r="244" customFormat="false" ht="14.25" hidden="false" customHeight="true" outlineLevel="0" collapsed="false">
      <c r="A244" s="7"/>
    </row>
    <row r="245" customFormat="false" ht="14.25" hidden="false" customHeight="true" outlineLevel="0" collapsed="false">
      <c r="A245" s="7"/>
    </row>
    <row r="246" customFormat="false" ht="14.25" hidden="false" customHeight="true" outlineLevel="0" collapsed="false">
      <c r="A246" s="7"/>
    </row>
    <row r="247" customFormat="false" ht="14.25" hidden="false" customHeight="true" outlineLevel="0" collapsed="false">
      <c r="A247" s="7"/>
    </row>
    <row r="248" customFormat="false" ht="14.25" hidden="false" customHeight="true" outlineLevel="0" collapsed="false">
      <c r="A248" s="7"/>
    </row>
    <row r="249" customFormat="false" ht="14.25" hidden="false" customHeight="true" outlineLevel="0" collapsed="false">
      <c r="A249" s="7"/>
    </row>
    <row r="250" customFormat="false" ht="14.25" hidden="false" customHeight="true" outlineLevel="0" collapsed="false">
      <c r="A250" s="7"/>
    </row>
    <row r="251" customFormat="false" ht="14.25" hidden="false" customHeight="true" outlineLevel="0" collapsed="false">
      <c r="A251" s="7"/>
    </row>
    <row r="252" customFormat="false" ht="14.25" hidden="false" customHeight="true" outlineLevel="0" collapsed="false">
      <c r="A252" s="7"/>
    </row>
    <row r="253" customFormat="false" ht="14.25" hidden="false" customHeight="true" outlineLevel="0" collapsed="false">
      <c r="A253" s="7"/>
    </row>
    <row r="254" customFormat="false" ht="14.25" hidden="false" customHeight="true" outlineLevel="0" collapsed="false">
      <c r="A254" s="7"/>
    </row>
    <row r="255" customFormat="false" ht="14.25" hidden="false" customHeight="true" outlineLevel="0" collapsed="false">
      <c r="A255" s="7"/>
    </row>
    <row r="256" customFormat="false" ht="14.25" hidden="false" customHeight="true" outlineLevel="0" collapsed="false">
      <c r="A256" s="7"/>
    </row>
    <row r="257" customFormat="false" ht="14.25" hidden="false" customHeight="true" outlineLevel="0" collapsed="false">
      <c r="A257" s="7"/>
    </row>
    <row r="258" customFormat="false" ht="14.25" hidden="false" customHeight="true" outlineLevel="0" collapsed="false">
      <c r="A258" s="7"/>
    </row>
    <row r="259" customFormat="false" ht="14.25" hidden="false" customHeight="true" outlineLevel="0" collapsed="false">
      <c r="A259" s="7"/>
    </row>
    <row r="260" customFormat="false" ht="14.25" hidden="false" customHeight="true" outlineLevel="0" collapsed="false">
      <c r="A260" s="7"/>
    </row>
    <row r="261" customFormat="false" ht="14.25" hidden="false" customHeight="true" outlineLevel="0" collapsed="false">
      <c r="A261" s="7"/>
    </row>
    <row r="262" customFormat="false" ht="14.25" hidden="false" customHeight="true" outlineLevel="0" collapsed="false">
      <c r="A262" s="7"/>
    </row>
    <row r="263" customFormat="false" ht="14.25" hidden="false" customHeight="true" outlineLevel="0" collapsed="false">
      <c r="A263" s="7"/>
    </row>
    <row r="264" customFormat="false" ht="14.25" hidden="false" customHeight="true" outlineLevel="0" collapsed="false">
      <c r="A264" s="7"/>
    </row>
    <row r="265" customFormat="false" ht="14.25" hidden="false" customHeight="true" outlineLevel="0" collapsed="false">
      <c r="A265" s="7"/>
    </row>
    <row r="266" customFormat="false" ht="14.25" hidden="false" customHeight="true" outlineLevel="0" collapsed="false">
      <c r="A266" s="7"/>
    </row>
    <row r="267" customFormat="false" ht="14.25" hidden="false" customHeight="true" outlineLevel="0" collapsed="false">
      <c r="A267" s="7"/>
    </row>
    <row r="268" customFormat="false" ht="14.25" hidden="false" customHeight="true" outlineLevel="0" collapsed="false">
      <c r="A268" s="7"/>
    </row>
    <row r="269" customFormat="false" ht="14.25" hidden="false" customHeight="true" outlineLevel="0" collapsed="false">
      <c r="A269" s="7"/>
    </row>
    <row r="270" customFormat="false" ht="14.25" hidden="false" customHeight="true" outlineLevel="0" collapsed="false">
      <c r="A270" s="7"/>
    </row>
    <row r="271" customFormat="false" ht="14.25" hidden="false" customHeight="true" outlineLevel="0" collapsed="false">
      <c r="A271" s="7"/>
    </row>
    <row r="272" customFormat="false" ht="14.25" hidden="false" customHeight="true" outlineLevel="0" collapsed="false">
      <c r="A272" s="7"/>
    </row>
    <row r="273" customFormat="false" ht="14.25" hidden="false" customHeight="true" outlineLevel="0" collapsed="false">
      <c r="A273" s="7"/>
    </row>
    <row r="274" customFormat="false" ht="14.25" hidden="false" customHeight="true" outlineLevel="0" collapsed="false">
      <c r="A274" s="7"/>
    </row>
    <row r="275" customFormat="false" ht="14.25" hidden="false" customHeight="true" outlineLevel="0" collapsed="false">
      <c r="A275" s="7"/>
    </row>
    <row r="276" customFormat="false" ht="14.25" hidden="false" customHeight="true" outlineLevel="0" collapsed="false">
      <c r="A276" s="7"/>
    </row>
    <row r="277" customFormat="false" ht="14.25" hidden="false" customHeight="true" outlineLevel="0" collapsed="false">
      <c r="A277" s="7"/>
    </row>
    <row r="278" customFormat="false" ht="14.25" hidden="false" customHeight="true" outlineLevel="0" collapsed="false">
      <c r="A278" s="7"/>
    </row>
    <row r="279" customFormat="false" ht="14.25" hidden="false" customHeight="true" outlineLevel="0" collapsed="false">
      <c r="A279" s="7"/>
    </row>
    <row r="280" customFormat="false" ht="14.25" hidden="false" customHeight="true" outlineLevel="0" collapsed="false">
      <c r="A280" s="7"/>
    </row>
    <row r="281" customFormat="false" ht="14.25" hidden="false" customHeight="true" outlineLevel="0" collapsed="false">
      <c r="A281" s="7"/>
    </row>
    <row r="282" customFormat="false" ht="14.25" hidden="false" customHeight="true" outlineLevel="0" collapsed="false">
      <c r="A282" s="7"/>
    </row>
    <row r="283" customFormat="false" ht="14.25" hidden="false" customHeight="true" outlineLevel="0" collapsed="false">
      <c r="A283" s="7"/>
    </row>
    <row r="284" customFormat="false" ht="14.25" hidden="false" customHeight="true" outlineLevel="0" collapsed="false">
      <c r="A284" s="7"/>
    </row>
    <row r="285" customFormat="false" ht="14.25" hidden="false" customHeight="true" outlineLevel="0" collapsed="false">
      <c r="A285" s="7"/>
    </row>
    <row r="286" customFormat="false" ht="14.25" hidden="false" customHeight="true" outlineLevel="0" collapsed="false">
      <c r="A286" s="7"/>
    </row>
    <row r="287" customFormat="false" ht="14.25" hidden="false" customHeight="true" outlineLevel="0" collapsed="false">
      <c r="A287" s="7"/>
    </row>
    <row r="288" customFormat="false" ht="14.25" hidden="false" customHeight="true" outlineLevel="0" collapsed="false">
      <c r="A288" s="7"/>
    </row>
    <row r="289" customFormat="false" ht="14.25" hidden="false" customHeight="true" outlineLevel="0" collapsed="false">
      <c r="A289" s="7"/>
    </row>
    <row r="290" customFormat="false" ht="14.25" hidden="false" customHeight="true" outlineLevel="0" collapsed="false">
      <c r="A290" s="7"/>
    </row>
    <row r="291" customFormat="false" ht="14.25" hidden="false" customHeight="true" outlineLevel="0" collapsed="false">
      <c r="A291" s="7"/>
    </row>
    <row r="292" customFormat="false" ht="14.25" hidden="false" customHeight="true" outlineLevel="0" collapsed="false">
      <c r="A292" s="7"/>
    </row>
    <row r="293" customFormat="false" ht="14.25" hidden="false" customHeight="true" outlineLevel="0" collapsed="false">
      <c r="A293" s="7"/>
    </row>
    <row r="294" customFormat="false" ht="14.25" hidden="false" customHeight="true" outlineLevel="0" collapsed="false">
      <c r="A294" s="7"/>
    </row>
    <row r="295" customFormat="false" ht="14.25" hidden="false" customHeight="true" outlineLevel="0" collapsed="false">
      <c r="A295" s="7"/>
    </row>
    <row r="296" customFormat="false" ht="14.25" hidden="false" customHeight="true" outlineLevel="0" collapsed="false">
      <c r="A296" s="7"/>
    </row>
    <row r="297" customFormat="false" ht="14.25" hidden="false" customHeight="true" outlineLevel="0" collapsed="false">
      <c r="A297" s="7"/>
    </row>
    <row r="298" customFormat="false" ht="14.25" hidden="false" customHeight="true" outlineLevel="0" collapsed="false">
      <c r="A298" s="7"/>
    </row>
    <row r="299" customFormat="false" ht="14.25" hidden="false" customHeight="true" outlineLevel="0" collapsed="false">
      <c r="A299" s="7"/>
    </row>
    <row r="300" customFormat="false" ht="14.25" hidden="false" customHeight="true" outlineLevel="0" collapsed="false">
      <c r="A300" s="7"/>
    </row>
    <row r="301" customFormat="false" ht="14.25" hidden="false" customHeight="true" outlineLevel="0" collapsed="false">
      <c r="A301" s="7"/>
    </row>
    <row r="302" customFormat="false" ht="14.25" hidden="false" customHeight="true" outlineLevel="0" collapsed="false">
      <c r="A302" s="7"/>
    </row>
    <row r="303" customFormat="false" ht="14.25" hidden="false" customHeight="true" outlineLevel="0" collapsed="false">
      <c r="A303" s="7"/>
    </row>
    <row r="304" customFormat="false" ht="14.25" hidden="false" customHeight="true" outlineLevel="0" collapsed="false">
      <c r="A304" s="7"/>
    </row>
    <row r="305" customFormat="false" ht="14.25" hidden="false" customHeight="true" outlineLevel="0" collapsed="false">
      <c r="A305" s="7"/>
    </row>
    <row r="306" customFormat="false" ht="14.25" hidden="false" customHeight="true" outlineLevel="0" collapsed="false">
      <c r="A306" s="7"/>
    </row>
    <row r="307" customFormat="false" ht="14.25" hidden="false" customHeight="true" outlineLevel="0" collapsed="false">
      <c r="A307" s="7"/>
    </row>
    <row r="308" customFormat="false" ht="14.25" hidden="false" customHeight="true" outlineLevel="0" collapsed="false">
      <c r="A308" s="7"/>
    </row>
    <row r="309" customFormat="false" ht="14.25" hidden="false" customHeight="true" outlineLevel="0" collapsed="false">
      <c r="A309" s="7"/>
    </row>
    <row r="310" customFormat="false" ht="14.25" hidden="false" customHeight="true" outlineLevel="0" collapsed="false">
      <c r="A310" s="7"/>
    </row>
    <row r="311" customFormat="false" ht="14.25" hidden="false" customHeight="true" outlineLevel="0" collapsed="false">
      <c r="A311" s="7"/>
    </row>
    <row r="312" customFormat="false" ht="14.25" hidden="false" customHeight="true" outlineLevel="0" collapsed="false">
      <c r="A312" s="7"/>
    </row>
    <row r="313" customFormat="false" ht="14.25" hidden="false" customHeight="true" outlineLevel="0" collapsed="false">
      <c r="A313" s="7"/>
    </row>
    <row r="314" customFormat="false" ht="14.25" hidden="false" customHeight="true" outlineLevel="0" collapsed="false">
      <c r="A314" s="7"/>
    </row>
    <row r="315" customFormat="false" ht="14.25" hidden="false" customHeight="true" outlineLevel="0" collapsed="false">
      <c r="A315" s="7"/>
    </row>
    <row r="316" customFormat="false" ht="14.25" hidden="false" customHeight="true" outlineLevel="0" collapsed="false">
      <c r="A316" s="7"/>
    </row>
    <row r="317" customFormat="false" ht="14.25" hidden="false" customHeight="true" outlineLevel="0" collapsed="false">
      <c r="A317" s="7"/>
    </row>
    <row r="318" customFormat="false" ht="14.25" hidden="false" customHeight="true" outlineLevel="0" collapsed="false">
      <c r="A318" s="7"/>
    </row>
    <row r="319" customFormat="false" ht="14.25" hidden="false" customHeight="true" outlineLevel="0" collapsed="false">
      <c r="A319" s="7"/>
    </row>
    <row r="320" customFormat="false" ht="14.25" hidden="false" customHeight="true" outlineLevel="0" collapsed="false">
      <c r="A320" s="7"/>
    </row>
    <row r="321" customFormat="false" ht="14.25" hidden="false" customHeight="true" outlineLevel="0" collapsed="false">
      <c r="A321" s="7"/>
    </row>
    <row r="322" customFormat="false" ht="14.25" hidden="false" customHeight="true" outlineLevel="0" collapsed="false">
      <c r="A322" s="7"/>
    </row>
    <row r="323" customFormat="false" ht="14.25" hidden="false" customHeight="true" outlineLevel="0" collapsed="false">
      <c r="A323" s="7"/>
    </row>
    <row r="324" customFormat="false" ht="14.25" hidden="false" customHeight="true" outlineLevel="0" collapsed="false">
      <c r="A324" s="7"/>
    </row>
    <row r="325" customFormat="false" ht="14.25" hidden="false" customHeight="true" outlineLevel="0" collapsed="false">
      <c r="A325" s="7"/>
    </row>
    <row r="326" customFormat="false" ht="14.25" hidden="false" customHeight="true" outlineLevel="0" collapsed="false">
      <c r="A326" s="7"/>
    </row>
    <row r="327" customFormat="false" ht="14.25" hidden="false" customHeight="true" outlineLevel="0" collapsed="false">
      <c r="A327" s="7"/>
    </row>
    <row r="328" customFormat="false" ht="14.25" hidden="false" customHeight="true" outlineLevel="0" collapsed="false">
      <c r="A328" s="7"/>
    </row>
    <row r="329" customFormat="false" ht="14.25" hidden="false" customHeight="true" outlineLevel="0" collapsed="false">
      <c r="A329" s="7"/>
    </row>
    <row r="330" customFormat="false" ht="14.25" hidden="false" customHeight="true" outlineLevel="0" collapsed="false">
      <c r="A330" s="7"/>
    </row>
    <row r="331" customFormat="false" ht="14.25" hidden="false" customHeight="true" outlineLevel="0" collapsed="false">
      <c r="A331" s="7"/>
    </row>
    <row r="332" customFormat="false" ht="14.25" hidden="false" customHeight="true" outlineLevel="0" collapsed="false">
      <c r="A332" s="7"/>
    </row>
    <row r="333" customFormat="false" ht="14.25" hidden="false" customHeight="true" outlineLevel="0" collapsed="false">
      <c r="A333" s="7"/>
    </row>
    <row r="334" customFormat="false" ht="14.25" hidden="false" customHeight="true" outlineLevel="0" collapsed="false">
      <c r="A334" s="7"/>
    </row>
    <row r="335" customFormat="false" ht="14.25" hidden="false" customHeight="true" outlineLevel="0" collapsed="false">
      <c r="A335" s="7"/>
    </row>
    <row r="336" customFormat="false" ht="14.25" hidden="false" customHeight="true" outlineLevel="0" collapsed="false">
      <c r="A336" s="7"/>
    </row>
    <row r="337" customFormat="false" ht="14.25" hidden="false" customHeight="true" outlineLevel="0" collapsed="false">
      <c r="A337" s="7"/>
    </row>
    <row r="338" customFormat="false" ht="14.25" hidden="false" customHeight="true" outlineLevel="0" collapsed="false">
      <c r="A338" s="7"/>
    </row>
    <row r="339" customFormat="false" ht="14.25" hidden="false" customHeight="true" outlineLevel="0" collapsed="false">
      <c r="A339" s="7"/>
    </row>
    <row r="340" customFormat="false" ht="14.25" hidden="false" customHeight="true" outlineLevel="0" collapsed="false">
      <c r="A340" s="7"/>
    </row>
    <row r="341" customFormat="false" ht="14.25" hidden="false" customHeight="true" outlineLevel="0" collapsed="false">
      <c r="A341" s="7"/>
    </row>
    <row r="342" customFormat="false" ht="14.25" hidden="false" customHeight="true" outlineLevel="0" collapsed="false">
      <c r="A342" s="7"/>
    </row>
    <row r="343" customFormat="false" ht="14.25" hidden="false" customHeight="true" outlineLevel="0" collapsed="false">
      <c r="A343" s="7"/>
    </row>
    <row r="344" customFormat="false" ht="14.25" hidden="false" customHeight="true" outlineLevel="0" collapsed="false">
      <c r="A344" s="7"/>
    </row>
    <row r="345" customFormat="false" ht="14.25" hidden="false" customHeight="true" outlineLevel="0" collapsed="false">
      <c r="A345" s="7"/>
    </row>
    <row r="346" customFormat="false" ht="14.25" hidden="false" customHeight="true" outlineLevel="0" collapsed="false">
      <c r="A346" s="7"/>
    </row>
    <row r="347" customFormat="false" ht="14.25" hidden="false" customHeight="true" outlineLevel="0" collapsed="false">
      <c r="A347" s="7"/>
    </row>
    <row r="348" customFormat="false" ht="14.25" hidden="false" customHeight="true" outlineLevel="0" collapsed="false">
      <c r="A348" s="7"/>
    </row>
    <row r="349" customFormat="false" ht="14.25" hidden="false" customHeight="true" outlineLevel="0" collapsed="false">
      <c r="A349" s="7"/>
    </row>
    <row r="350" customFormat="false" ht="14.25" hidden="false" customHeight="true" outlineLevel="0" collapsed="false">
      <c r="A350" s="7"/>
    </row>
    <row r="351" customFormat="false" ht="14.25" hidden="false" customHeight="true" outlineLevel="0" collapsed="false">
      <c r="A351" s="7"/>
    </row>
    <row r="352" customFormat="false" ht="14.25" hidden="false" customHeight="true" outlineLevel="0" collapsed="false">
      <c r="A352" s="7"/>
    </row>
    <row r="353" customFormat="false" ht="14.25" hidden="false" customHeight="true" outlineLevel="0" collapsed="false">
      <c r="A353" s="7"/>
    </row>
    <row r="354" customFormat="false" ht="14.25" hidden="false" customHeight="true" outlineLevel="0" collapsed="false">
      <c r="A354" s="7"/>
    </row>
    <row r="355" customFormat="false" ht="14.25" hidden="false" customHeight="true" outlineLevel="0" collapsed="false">
      <c r="A355" s="7"/>
    </row>
    <row r="356" customFormat="false" ht="14.25" hidden="false" customHeight="true" outlineLevel="0" collapsed="false">
      <c r="A356" s="7"/>
    </row>
    <row r="357" customFormat="false" ht="14.25" hidden="false" customHeight="true" outlineLevel="0" collapsed="false">
      <c r="A357" s="7"/>
    </row>
    <row r="358" customFormat="false" ht="14.25" hidden="false" customHeight="true" outlineLevel="0" collapsed="false">
      <c r="A358" s="7"/>
    </row>
    <row r="359" customFormat="false" ht="14.25" hidden="false" customHeight="true" outlineLevel="0" collapsed="false">
      <c r="A359" s="7"/>
    </row>
    <row r="360" customFormat="false" ht="14.25" hidden="false" customHeight="true" outlineLevel="0" collapsed="false">
      <c r="A360" s="7"/>
    </row>
    <row r="361" customFormat="false" ht="14.25" hidden="false" customHeight="true" outlineLevel="0" collapsed="false">
      <c r="A361" s="7"/>
    </row>
    <row r="362" customFormat="false" ht="14.25" hidden="false" customHeight="true" outlineLevel="0" collapsed="false">
      <c r="A362" s="7"/>
    </row>
    <row r="363" customFormat="false" ht="14.25" hidden="false" customHeight="true" outlineLevel="0" collapsed="false">
      <c r="A363" s="7"/>
    </row>
    <row r="364" customFormat="false" ht="14.25" hidden="false" customHeight="true" outlineLevel="0" collapsed="false">
      <c r="A364" s="7"/>
    </row>
    <row r="365" customFormat="false" ht="14.25" hidden="false" customHeight="true" outlineLevel="0" collapsed="false">
      <c r="A365" s="7"/>
    </row>
    <row r="366" customFormat="false" ht="14.25" hidden="false" customHeight="true" outlineLevel="0" collapsed="false">
      <c r="A366" s="7"/>
    </row>
    <row r="367" customFormat="false" ht="14.25" hidden="false" customHeight="true" outlineLevel="0" collapsed="false">
      <c r="A367" s="7"/>
    </row>
    <row r="368" customFormat="false" ht="14.25" hidden="false" customHeight="true" outlineLevel="0" collapsed="false">
      <c r="A368" s="7"/>
    </row>
    <row r="369" customFormat="false" ht="14.25" hidden="false" customHeight="true" outlineLevel="0" collapsed="false">
      <c r="A369" s="7"/>
    </row>
    <row r="370" customFormat="false" ht="14.25" hidden="false" customHeight="true" outlineLevel="0" collapsed="false">
      <c r="A370" s="7"/>
    </row>
    <row r="371" customFormat="false" ht="14.25" hidden="false" customHeight="true" outlineLevel="0" collapsed="false">
      <c r="A371" s="7"/>
    </row>
    <row r="372" customFormat="false" ht="14.25" hidden="false" customHeight="true" outlineLevel="0" collapsed="false">
      <c r="A372" s="7"/>
    </row>
    <row r="373" customFormat="false" ht="14.25" hidden="false" customHeight="true" outlineLevel="0" collapsed="false">
      <c r="A373" s="7"/>
    </row>
    <row r="374" customFormat="false" ht="14.25" hidden="false" customHeight="true" outlineLevel="0" collapsed="false">
      <c r="A374" s="7"/>
    </row>
    <row r="375" customFormat="false" ht="14.25" hidden="false" customHeight="true" outlineLevel="0" collapsed="false">
      <c r="A375" s="7"/>
    </row>
    <row r="376" customFormat="false" ht="14.25" hidden="false" customHeight="true" outlineLevel="0" collapsed="false">
      <c r="A376" s="7"/>
    </row>
    <row r="377" customFormat="false" ht="14.25" hidden="false" customHeight="true" outlineLevel="0" collapsed="false">
      <c r="A377" s="7"/>
    </row>
    <row r="378" customFormat="false" ht="14.25" hidden="false" customHeight="true" outlineLevel="0" collapsed="false">
      <c r="A378" s="7"/>
    </row>
    <row r="379" customFormat="false" ht="14.25" hidden="false" customHeight="true" outlineLevel="0" collapsed="false">
      <c r="A379" s="7"/>
    </row>
    <row r="380" customFormat="false" ht="14.25" hidden="false" customHeight="true" outlineLevel="0" collapsed="false">
      <c r="A380" s="7"/>
    </row>
    <row r="381" customFormat="false" ht="14.25" hidden="false" customHeight="true" outlineLevel="0" collapsed="false">
      <c r="A381" s="7"/>
    </row>
    <row r="382" customFormat="false" ht="14.25" hidden="false" customHeight="true" outlineLevel="0" collapsed="false">
      <c r="A382" s="7"/>
    </row>
    <row r="383" customFormat="false" ht="14.25" hidden="false" customHeight="true" outlineLevel="0" collapsed="false">
      <c r="A383" s="7"/>
    </row>
    <row r="384" customFormat="false" ht="14.25" hidden="false" customHeight="true" outlineLevel="0" collapsed="false">
      <c r="A384" s="7"/>
    </row>
    <row r="385" customFormat="false" ht="14.25" hidden="false" customHeight="true" outlineLevel="0" collapsed="false">
      <c r="A385" s="7"/>
    </row>
    <row r="386" customFormat="false" ht="14.25" hidden="false" customHeight="true" outlineLevel="0" collapsed="false">
      <c r="A386" s="7"/>
    </row>
    <row r="387" customFormat="false" ht="14.25" hidden="false" customHeight="true" outlineLevel="0" collapsed="false">
      <c r="A387" s="7"/>
    </row>
    <row r="388" customFormat="false" ht="14.25" hidden="false" customHeight="true" outlineLevel="0" collapsed="false">
      <c r="A388" s="7"/>
    </row>
    <row r="389" customFormat="false" ht="14.25" hidden="false" customHeight="true" outlineLevel="0" collapsed="false">
      <c r="A389" s="7"/>
    </row>
    <row r="390" customFormat="false" ht="14.25" hidden="false" customHeight="true" outlineLevel="0" collapsed="false">
      <c r="A390" s="7"/>
    </row>
    <row r="391" customFormat="false" ht="14.25" hidden="false" customHeight="true" outlineLevel="0" collapsed="false">
      <c r="A391" s="7"/>
    </row>
    <row r="392" customFormat="false" ht="14.25" hidden="false" customHeight="true" outlineLevel="0" collapsed="false">
      <c r="A392" s="7"/>
    </row>
    <row r="393" customFormat="false" ht="14.25" hidden="false" customHeight="true" outlineLevel="0" collapsed="false">
      <c r="A393" s="7"/>
    </row>
    <row r="394" customFormat="false" ht="14.25" hidden="false" customHeight="true" outlineLevel="0" collapsed="false">
      <c r="A394" s="7"/>
    </row>
    <row r="395" customFormat="false" ht="14.25" hidden="false" customHeight="true" outlineLevel="0" collapsed="false">
      <c r="A395" s="7"/>
    </row>
    <row r="396" customFormat="false" ht="14.25" hidden="false" customHeight="true" outlineLevel="0" collapsed="false">
      <c r="A396" s="7"/>
    </row>
    <row r="397" customFormat="false" ht="14.25" hidden="false" customHeight="true" outlineLevel="0" collapsed="false">
      <c r="A397" s="7"/>
    </row>
    <row r="398" customFormat="false" ht="14.25" hidden="false" customHeight="true" outlineLevel="0" collapsed="false">
      <c r="A398" s="7"/>
    </row>
    <row r="399" customFormat="false" ht="14.25" hidden="false" customHeight="true" outlineLevel="0" collapsed="false">
      <c r="A399" s="7"/>
    </row>
    <row r="400" customFormat="false" ht="14.25" hidden="false" customHeight="true" outlineLevel="0" collapsed="false">
      <c r="A400" s="7"/>
    </row>
    <row r="401" customFormat="false" ht="14.25" hidden="false" customHeight="true" outlineLevel="0" collapsed="false">
      <c r="A401" s="7"/>
    </row>
    <row r="402" customFormat="false" ht="14.25" hidden="false" customHeight="true" outlineLevel="0" collapsed="false">
      <c r="A402" s="7"/>
    </row>
    <row r="403" customFormat="false" ht="14.25" hidden="false" customHeight="true" outlineLevel="0" collapsed="false">
      <c r="A403" s="7"/>
    </row>
    <row r="404" customFormat="false" ht="14.25" hidden="false" customHeight="true" outlineLevel="0" collapsed="false">
      <c r="A404" s="7"/>
    </row>
    <row r="405" customFormat="false" ht="14.25" hidden="false" customHeight="true" outlineLevel="0" collapsed="false">
      <c r="A405" s="7"/>
    </row>
    <row r="406" customFormat="false" ht="14.25" hidden="false" customHeight="true" outlineLevel="0" collapsed="false">
      <c r="A406" s="7"/>
    </row>
    <row r="407" customFormat="false" ht="14.25" hidden="false" customHeight="true" outlineLevel="0" collapsed="false">
      <c r="A407" s="7"/>
    </row>
    <row r="408" customFormat="false" ht="14.25" hidden="false" customHeight="true" outlineLevel="0" collapsed="false">
      <c r="A408" s="7"/>
    </row>
    <row r="409" customFormat="false" ht="14.25" hidden="false" customHeight="true" outlineLevel="0" collapsed="false">
      <c r="A409" s="7"/>
    </row>
    <row r="410" customFormat="false" ht="14.25" hidden="false" customHeight="true" outlineLevel="0" collapsed="false">
      <c r="A410" s="7"/>
    </row>
    <row r="411" customFormat="false" ht="14.25" hidden="false" customHeight="true" outlineLevel="0" collapsed="false">
      <c r="A411" s="7"/>
    </row>
    <row r="412" customFormat="false" ht="14.25" hidden="false" customHeight="true" outlineLevel="0" collapsed="false">
      <c r="A412" s="7"/>
    </row>
    <row r="413" customFormat="false" ht="14.25" hidden="false" customHeight="true" outlineLevel="0" collapsed="false">
      <c r="A413" s="7"/>
    </row>
    <row r="414" customFormat="false" ht="14.25" hidden="false" customHeight="true" outlineLevel="0" collapsed="false">
      <c r="A414" s="7"/>
    </row>
    <row r="415" customFormat="false" ht="14.25" hidden="false" customHeight="true" outlineLevel="0" collapsed="false">
      <c r="A415" s="7"/>
    </row>
    <row r="416" customFormat="false" ht="14.25" hidden="false" customHeight="true" outlineLevel="0" collapsed="false">
      <c r="A416" s="7"/>
    </row>
    <row r="417" customFormat="false" ht="14.25" hidden="false" customHeight="true" outlineLevel="0" collapsed="false">
      <c r="A417" s="7"/>
    </row>
    <row r="418" customFormat="false" ht="14.25" hidden="false" customHeight="true" outlineLevel="0" collapsed="false">
      <c r="A418" s="7"/>
    </row>
    <row r="419" customFormat="false" ht="14.25" hidden="false" customHeight="true" outlineLevel="0" collapsed="false">
      <c r="A419" s="7"/>
    </row>
    <row r="420" customFormat="false" ht="14.25" hidden="false" customHeight="true" outlineLevel="0" collapsed="false">
      <c r="A420" s="7"/>
    </row>
    <row r="421" customFormat="false" ht="14.25" hidden="false" customHeight="true" outlineLevel="0" collapsed="false">
      <c r="A421" s="7"/>
    </row>
    <row r="422" customFormat="false" ht="14.25" hidden="false" customHeight="true" outlineLevel="0" collapsed="false">
      <c r="A422" s="7"/>
    </row>
    <row r="423" customFormat="false" ht="14.25" hidden="false" customHeight="true" outlineLevel="0" collapsed="false">
      <c r="A423" s="7"/>
    </row>
    <row r="424" customFormat="false" ht="14.25" hidden="false" customHeight="true" outlineLevel="0" collapsed="false">
      <c r="A424" s="7"/>
    </row>
    <row r="425" customFormat="false" ht="14.25" hidden="false" customHeight="true" outlineLevel="0" collapsed="false">
      <c r="A425" s="7"/>
    </row>
    <row r="426" customFormat="false" ht="14.25" hidden="false" customHeight="true" outlineLevel="0" collapsed="false">
      <c r="A426" s="7"/>
    </row>
    <row r="427" customFormat="false" ht="14.25" hidden="false" customHeight="true" outlineLevel="0" collapsed="false">
      <c r="A427" s="7"/>
    </row>
    <row r="428" customFormat="false" ht="14.25" hidden="false" customHeight="true" outlineLevel="0" collapsed="false">
      <c r="A428" s="7"/>
    </row>
    <row r="429" customFormat="false" ht="14.25" hidden="false" customHeight="true" outlineLevel="0" collapsed="false">
      <c r="A429" s="7"/>
    </row>
    <row r="430" customFormat="false" ht="14.25" hidden="false" customHeight="true" outlineLevel="0" collapsed="false">
      <c r="A430" s="7"/>
    </row>
    <row r="431" customFormat="false" ht="14.25" hidden="false" customHeight="true" outlineLevel="0" collapsed="false">
      <c r="A431" s="7"/>
    </row>
    <row r="432" customFormat="false" ht="14.25" hidden="false" customHeight="true" outlineLevel="0" collapsed="false">
      <c r="A432" s="7"/>
    </row>
    <row r="433" customFormat="false" ht="14.25" hidden="false" customHeight="true" outlineLevel="0" collapsed="false">
      <c r="A433" s="7"/>
    </row>
    <row r="434" customFormat="false" ht="14.25" hidden="false" customHeight="true" outlineLevel="0" collapsed="false">
      <c r="A434" s="7"/>
    </row>
    <row r="435" customFormat="false" ht="14.25" hidden="false" customHeight="true" outlineLevel="0" collapsed="false">
      <c r="A435" s="7"/>
    </row>
    <row r="436" customFormat="false" ht="14.25" hidden="false" customHeight="true" outlineLevel="0" collapsed="false">
      <c r="A436" s="7"/>
    </row>
    <row r="437" customFormat="false" ht="14.25" hidden="false" customHeight="true" outlineLevel="0" collapsed="false">
      <c r="A437" s="7"/>
    </row>
    <row r="438" customFormat="false" ht="14.25" hidden="false" customHeight="true" outlineLevel="0" collapsed="false">
      <c r="A438" s="7"/>
    </row>
    <row r="439" customFormat="false" ht="14.25" hidden="false" customHeight="true" outlineLevel="0" collapsed="false">
      <c r="A439" s="7"/>
    </row>
    <row r="440" customFormat="false" ht="14.25" hidden="false" customHeight="true" outlineLevel="0" collapsed="false">
      <c r="A440" s="7"/>
    </row>
    <row r="441" customFormat="false" ht="14.25" hidden="false" customHeight="true" outlineLevel="0" collapsed="false">
      <c r="A441" s="7"/>
    </row>
    <row r="442" customFormat="false" ht="14.25" hidden="false" customHeight="true" outlineLevel="0" collapsed="false">
      <c r="A442" s="7"/>
    </row>
    <row r="443" customFormat="false" ht="14.25" hidden="false" customHeight="true" outlineLevel="0" collapsed="false">
      <c r="A443" s="7"/>
    </row>
    <row r="444" customFormat="false" ht="14.25" hidden="false" customHeight="true" outlineLevel="0" collapsed="false">
      <c r="A444" s="7"/>
    </row>
    <row r="445" customFormat="false" ht="14.25" hidden="false" customHeight="true" outlineLevel="0" collapsed="false">
      <c r="A445" s="7"/>
    </row>
    <row r="446" customFormat="false" ht="14.25" hidden="false" customHeight="true" outlineLevel="0" collapsed="false">
      <c r="A446" s="7"/>
    </row>
    <row r="447" customFormat="false" ht="14.25" hidden="false" customHeight="true" outlineLevel="0" collapsed="false">
      <c r="A447" s="7"/>
    </row>
    <row r="448" customFormat="false" ht="14.25" hidden="false" customHeight="true" outlineLevel="0" collapsed="false">
      <c r="A448" s="7"/>
    </row>
    <row r="449" customFormat="false" ht="14.25" hidden="false" customHeight="true" outlineLevel="0" collapsed="false">
      <c r="A449" s="7"/>
    </row>
    <row r="450" customFormat="false" ht="14.25" hidden="false" customHeight="true" outlineLevel="0" collapsed="false">
      <c r="A450" s="7"/>
    </row>
    <row r="451" customFormat="false" ht="14.25" hidden="false" customHeight="true" outlineLevel="0" collapsed="false">
      <c r="A451" s="7"/>
    </row>
    <row r="452" customFormat="false" ht="14.25" hidden="false" customHeight="true" outlineLevel="0" collapsed="false">
      <c r="A452" s="7"/>
    </row>
    <row r="453" customFormat="false" ht="14.25" hidden="false" customHeight="true" outlineLevel="0" collapsed="false">
      <c r="A453" s="7"/>
    </row>
    <row r="454" customFormat="false" ht="14.25" hidden="false" customHeight="true" outlineLevel="0" collapsed="false">
      <c r="A454" s="7"/>
    </row>
    <row r="455" customFormat="false" ht="14.25" hidden="false" customHeight="true" outlineLevel="0" collapsed="false">
      <c r="A455" s="7"/>
    </row>
    <row r="456" customFormat="false" ht="14.25" hidden="false" customHeight="true" outlineLevel="0" collapsed="false">
      <c r="A456" s="7"/>
    </row>
    <row r="457" customFormat="false" ht="14.25" hidden="false" customHeight="true" outlineLevel="0" collapsed="false">
      <c r="A457" s="7"/>
    </row>
    <row r="458" customFormat="false" ht="14.25" hidden="false" customHeight="true" outlineLevel="0" collapsed="false">
      <c r="A458" s="7"/>
    </row>
    <row r="459" customFormat="false" ht="14.25" hidden="false" customHeight="true" outlineLevel="0" collapsed="false">
      <c r="A459" s="7"/>
    </row>
    <row r="460" customFormat="false" ht="14.25" hidden="false" customHeight="true" outlineLevel="0" collapsed="false">
      <c r="A460" s="7"/>
    </row>
    <row r="461" customFormat="false" ht="14.25" hidden="false" customHeight="true" outlineLevel="0" collapsed="false">
      <c r="A461" s="7"/>
    </row>
    <row r="462" customFormat="false" ht="14.25" hidden="false" customHeight="true" outlineLevel="0" collapsed="false">
      <c r="A462" s="7"/>
    </row>
    <row r="463" customFormat="false" ht="14.25" hidden="false" customHeight="true" outlineLevel="0" collapsed="false">
      <c r="A463" s="7"/>
    </row>
    <row r="464" customFormat="false" ht="14.25" hidden="false" customHeight="true" outlineLevel="0" collapsed="false">
      <c r="A464" s="7"/>
    </row>
    <row r="465" customFormat="false" ht="14.25" hidden="false" customHeight="true" outlineLevel="0" collapsed="false">
      <c r="A465" s="7"/>
    </row>
    <row r="466" customFormat="false" ht="14.25" hidden="false" customHeight="true" outlineLevel="0" collapsed="false">
      <c r="A466" s="7"/>
    </row>
    <row r="467" customFormat="false" ht="14.25" hidden="false" customHeight="true" outlineLevel="0" collapsed="false">
      <c r="A467" s="7"/>
    </row>
    <row r="468" customFormat="false" ht="14.25" hidden="false" customHeight="true" outlineLevel="0" collapsed="false">
      <c r="A468" s="7"/>
    </row>
    <row r="469" customFormat="false" ht="14.25" hidden="false" customHeight="true" outlineLevel="0" collapsed="false">
      <c r="A469" s="7"/>
    </row>
    <row r="470" customFormat="false" ht="14.25" hidden="false" customHeight="true" outlineLevel="0" collapsed="false">
      <c r="A470" s="7"/>
    </row>
    <row r="471" customFormat="false" ht="14.25" hidden="false" customHeight="true" outlineLevel="0" collapsed="false">
      <c r="A471" s="7"/>
    </row>
    <row r="472" customFormat="false" ht="14.25" hidden="false" customHeight="true" outlineLevel="0" collapsed="false">
      <c r="A472" s="7"/>
    </row>
    <row r="473" customFormat="false" ht="14.25" hidden="false" customHeight="true" outlineLevel="0" collapsed="false">
      <c r="A473" s="7"/>
    </row>
    <row r="474" customFormat="false" ht="14.25" hidden="false" customHeight="true" outlineLevel="0" collapsed="false">
      <c r="A474" s="7"/>
    </row>
    <row r="475" customFormat="false" ht="14.25" hidden="false" customHeight="true" outlineLevel="0" collapsed="false">
      <c r="A475" s="7"/>
    </row>
    <row r="476" customFormat="false" ht="14.25" hidden="false" customHeight="true" outlineLevel="0" collapsed="false">
      <c r="A476" s="7"/>
    </row>
    <row r="477" customFormat="false" ht="14.25" hidden="false" customHeight="true" outlineLevel="0" collapsed="false">
      <c r="A477" s="7"/>
    </row>
    <row r="478" customFormat="false" ht="14.25" hidden="false" customHeight="true" outlineLevel="0" collapsed="false">
      <c r="A478" s="7"/>
    </row>
    <row r="479" customFormat="false" ht="14.25" hidden="false" customHeight="true" outlineLevel="0" collapsed="false">
      <c r="A479" s="7"/>
    </row>
    <row r="480" customFormat="false" ht="14.25" hidden="false" customHeight="true" outlineLevel="0" collapsed="false">
      <c r="A480" s="7"/>
    </row>
    <row r="481" customFormat="false" ht="14.25" hidden="false" customHeight="true" outlineLevel="0" collapsed="false">
      <c r="A481" s="7"/>
    </row>
    <row r="482" customFormat="false" ht="14.25" hidden="false" customHeight="true" outlineLevel="0" collapsed="false">
      <c r="A482" s="7"/>
    </row>
    <row r="483" customFormat="false" ht="14.25" hidden="false" customHeight="true" outlineLevel="0" collapsed="false">
      <c r="A483" s="7"/>
    </row>
    <row r="484" customFormat="false" ht="14.25" hidden="false" customHeight="true" outlineLevel="0" collapsed="false">
      <c r="A484" s="7"/>
    </row>
    <row r="485" customFormat="false" ht="14.25" hidden="false" customHeight="true" outlineLevel="0" collapsed="false">
      <c r="A485" s="7"/>
    </row>
    <row r="486" customFormat="false" ht="14.25" hidden="false" customHeight="true" outlineLevel="0" collapsed="false">
      <c r="A486" s="7"/>
    </row>
    <row r="487" customFormat="false" ht="14.25" hidden="false" customHeight="true" outlineLevel="0" collapsed="false">
      <c r="A487" s="7"/>
    </row>
    <row r="488" customFormat="false" ht="14.25" hidden="false" customHeight="true" outlineLevel="0" collapsed="false">
      <c r="A488" s="7"/>
    </row>
    <row r="489" customFormat="false" ht="14.25" hidden="false" customHeight="true" outlineLevel="0" collapsed="false">
      <c r="A489" s="7"/>
    </row>
    <row r="490" customFormat="false" ht="14.25" hidden="false" customHeight="true" outlineLevel="0" collapsed="false">
      <c r="A490" s="7"/>
    </row>
    <row r="491" customFormat="false" ht="14.25" hidden="false" customHeight="true" outlineLevel="0" collapsed="false">
      <c r="A491" s="7"/>
    </row>
    <row r="492" customFormat="false" ht="14.25" hidden="false" customHeight="true" outlineLevel="0" collapsed="false">
      <c r="A492" s="7"/>
    </row>
    <row r="493" customFormat="false" ht="14.25" hidden="false" customHeight="true" outlineLevel="0" collapsed="false">
      <c r="A493" s="7"/>
    </row>
    <row r="494" customFormat="false" ht="14.25" hidden="false" customHeight="true" outlineLevel="0" collapsed="false">
      <c r="A494" s="7"/>
    </row>
    <row r="495" customFormat="false" ht="14.25" hidden="false" customHeight="true" outlineLevel="0" collapsed="false">
      <c r="A495" s="7"/>
    </row>
    <row r="496" customFormat="false" ht="14.25" hidden="false" customHeight="true" outlineLevel="0" collapsed="false">
      <c r="A496" s="7"/>
    </row>
    <row r="497" customFormat="false" ht="14.25" hidden="false" customHeight="true" outlineLevel="0" collapsed="false">
      <c r="A497" s="7"/>
    </row>
    <row r="498" customFormat="false" ht="14.25" hidden="false" customHeight="true" outlineLevel="0" collapsed="false">
      <c r="A498" s="7"/>
    </row>
    <row r="499" customFormat="false" ht="14.25" hidden="false" customHeight="true" outlineLevel="0" collapsed="false">
      <c r="A499" s="7"/>
    </row>
    <row r="500" customFormat="false" ht="14.25" hidden="false" customHeight="true" outlineLevel="0" collapsed="false">
      <c r="A500" s="7"/>
    </row>
    <row r="501" customFormat="false" ht="14.25" hidden="false" customHeight="true" outlineLevel="0" collapsed="false">
      <c r="A501" s="7"/>
    </row>
    <row r="502" customFormat="false" ht="14.25" hidden="false" customHeight="true" outlineLevel="0" collapsed="false">
      <c r="A502" s="7"/>
    </row>
    <row r="503" customFormat="false" ht="14.25" hidden="false" customHeight="true" outlineLevel="0" collapsed="false">
      <c r="A503" s="7"/>
    </row>
    <row r="504" customFormat="false" ht="14.25" hidden="false" customHeight="true" outlineLevel="0" collapsed="false">
      <c r="A504" s="7"/>
    </row>
    <row r="505" customFormat="false" ht="14.25" hidden="false" customHeight="true" outlineLevel="0" collapsed="false">
      <c r="A505" s="7"/>
    </row>
    <row r="506" customFormat="false" ht="14.25" hidden="false" customHeight="true" outlineLevel="0" collapsed="false">
      <c r="A506" s="7"/>
    </row>
    <row r="507" customFormat="false" ht="14.25" hidden="false" customHeight="true" outlineLevel="0" collapsed="false">
      <c r="A507" s="7"/>
    </row>
    <row r="508" customFormat="false" ht="14.25" hidden="false" customHeight="true" outlineLevel="0" collapsed="false">
      <c r="A508" s="7"/>
    </row>
    <row r="509" customFormat="false" ht="14.25" hidden="false" customHeight="true" outlineLevel="0" collapsed="false">
      <c r="A509" s="7"/>
    </row>
    <row r="510" customFormat="false" ht="14.25" hidden="false" customHeight="true" outlineLevel="0" collapsed="false">
      <c r="A510" s="7"/>
    </row>
    <row r="511" customFormat="false" ht="14.25" hidden="false" customHeight="true" outlineLevel="0" collapsed="false">
      <c r="A511" s="7"/>
    </row>
    <row r="512" customFormat="false" ht="14.25" hidden="false" customHeight="true" outlineLevel="0" collapsed="false">
      <c r="A512" s="7"/>
    </row>
    <row r="513" customFormat="false" ht="14.25" hidden="false" customHeight="true" outlineLevel="0" collapsed="false">
      <c r="A513" s="7"/>
    </row>
    <row r="514" customFormat="false" ht="14.25" hidden="false" customHeight="true" outlineLevel="0" collapsed="false">
      <c r="A514" s="7"/>
    </row>
    <row r="515" customFormat="false" ht="14.25" hidden="false" customHeight="true" outlineLevel="0" collapsed="false">
      <c r="A515" s="7"/>
    </row>
    <row r="516" customFormat="false" ht="14.25" hidden="false" customHeight="true" outlineLevel="0" collapsed="false">
      <c r="A516" s="7"/>
    </row>
    <row r="517" customFormat="false" ht="14.25" hidden="false" customHeight="true" outlineLevel="0" collapsed="false">
      <c r="A517" s="7"/>
    </row>
    <row r="518" customFormat="false" ht="14.25" hidden="false" customHeight="true" outlineLevel="0" collapsed="false">
      <c r="A518" s="7"/>
    </row>
    <row r="519" customFormat="false" ht="14.25" hidden="false" customHeight="true" outlineLevel="0" collapsed="false">
      <c r="A519" s="7"/>
    </row>
    <row r="520" customFormat="false" ht="14.25" hidden="false" customHeight="true" outlineLevel="0" collapsed="false">
      <c r="A520" s="7"/>
    </row>
    <row r="521" customFormat="false" ht="14.25" hidden="false" customHeight="true" outlineLevel="0" collapsed="false">
      <c r="A521" s="7"/>
    </row>
    <row r="522" customFormat="false" ht="14.25" hidden="false" customHeight="true" outlineLevel="0" collapsed="false">
      <c r="A522" s="7"/>
    </row>
    <row r="523" customFormat="false" ht="14.25" hidden="false" customHeight="true" outlineLevel="0" collapsed="false">
      <c r="A523" s="7"/>
    </row>
    <row r="524" customFormat="false" ht="14.25" hidden="false" customHeight="true" outlineLevel="0" collapsed="false">
      <c r="A524" s="7"/>
    </row>
    <row r="525" customFormat="false" ht="14.25" hidden="false" customHeight="true" outlineLevel="0" collapsed="false">
      <c r="A525" s="7"/>
    </row>
    <row r="526" customFormat="false" ht="14.25" hidden="false" customHeight="true" outlineLevel="0" collapsed="false">
      <c r="A526" s="7"/>
    </row>
    <row r="527" customFormat="false" ht="14.25" hidden="false" customHeight="true" outlineLevel="0" collapsed="false">
      <c r="A527" s="7"/>
    </row>
    <row r="528" customFormat="false" ht="14.25" hidden="false" customHeight="true" outlineLevel="0" collapsed="false">
      <c r="A528" s="7"/>
    </row>
    <row r="529" customFormat="false" ht="14.25" hidden="false" customHeight="true" outlineLevel="0" collapsed="false">
      <c r="A529" s="7"/>
    </row>
    <row r="530" customFormat="false" ht="14.25" hidden="false" customHeight="true" outlineLevel="0" collapsed="false">
      <c r="A530" s="7"/>
    </row>
    <row r="531" customFormat="false" ht="14.25" hidden="false" customHeight="true" outlineLevel="0" collapsed="false">
      <c r="A531" s="7"/>
    </row>
    <row r="532" customFormat="false" ht="14.25" hidden="false" customHeight="true" outlineLevel="0" collapsed="false">
      <c r="A532" s="7"/>
    </row>
    <row r="533" customFormat="false" ht="14.25" hidden="false" customHeight="true" outlineLevel="0" collapsed="false">
      <c r="A533" s="7"/>
    </row>
    <row r="534" customFormat="false" ht="14.25" hidden="false" customHeight="true" outlineLevel="0" collapsed="false">
      <c r="A534" s="7"/>
    </row>
    <row r="535" customFormat="false" ht="14.25" hidden="false" customHeight="true" outlineLevel="0" collapsed="false">
      <c r="A535" s="7"/>
    </row>
    <row r="536" customFormat="false" ht="14.25" hidden="false" customHeight="true" outlineLevel="0" collapsed="false">
      <c r="A536" s="7"/>
    </row>
    <row r="537" customFormat="false" ht="14.25" hidden="false" customHeight="true" outlineLevel="0" collapsed="false">
      <c r="A537" s="7"/>
    </row>
    <row r="538" customFormat="false" ht="14.25" hidden="false" customHeight="true" outlineLevel="0" collapsed="false">
      <c r="A538" s="7"/>
    </row>
    <row r="539" customFormat="false" ht="14.25" hidden="false" customHeight="true" outlineLevel="0" collapsed="false">
      <c r="A539" s="7"/>
    </row>
    <row r="540" customFormat="false" ht="14.25" hidden="false" customHeight="true" outlineLevel="0" collapsed="false">
      <c r="A540" s="7"/>
    </row>
    <row r="541" customFormat="false" ht="14.25" hidden="false" customHeight="true" outlineLevel="0" collapsed="false">
      <c r="A541" s="7"/>
    </row>
    <row r="542" customFormat="false" ht="14.25" hidden="false" customHeight="true" outlineLevel="0" collapsed="false">
      <c r="A542" s="7"/>
    </row>
    <row r="543" customFormat="false" ht="14.25" hidden="false" customHeight="true" outlineLevel="0" collapsed="false">
      <c r="A543" s="7"/>
    </row>
    <row r="544" customFormat="false" ht="14.25" hidden="false" customHeight="true" outlineLevel="0" collapsed="false">
      <c r="A544" s="7"/>
    </row>
    <row r="545" customFormat="false" ht="14.25" hidden="false" customHeight="true" outlineLevel="0" collapsed="false">
      <c r="A545" s="7"/>
    </row>
    <row r="546" customFormat="false" ht="14.25" hidden="false" customHeight="true" outlineLevel="0" collapsed="false">
      <c r="A546" s="7"/>
    </row>
    <row r="547" customFormat="false" ht="14.25" hidden="false" customHeight="true" outlineLevel="0" collapsed="false">
      <c r="A547" s="7"/>
    </row>
    <row r="548" customFormat="false" ht="14.25" hidden="false" customHeight="true" outlineLevel="0" collapsed="false">
      <c r="A548" s="7"/>
    </row>
    <row r="549" customFormat="false" ht="14.25" hidden="false" customHeight="true" outlineLevel="0" collapsed="false">
      <c r="A549" s="7"/>
    </row>
    <row r="550" customFormat="false" ht="14.25" hidden="false" customHeight="true" outlineLevel="0" collapsed="false">
      <c r="A550" s="7"/>
    </row>
    <row r="551" customFormat="false" ht="14.25" hidden="false" customHeight="true" outlineLevel="0" collapsed="false">
      <c r="A551" s="7"/>
    </row>
    <row r="552" customFormat="false" ht="14.25" hidden="false" customHeight="true" outlineLevel="0" collapsed="false">
      <c r="A552" s="7"/>
    </row>
    <row r="553" customFormat="false" ht="14.25" hidden="false" customHeight="true" outlineLevel="0" collapsed="false">
      <c r="A553" s="7"/>
    </row>
    <row r="554" customFormat="false" ht="14.25" hidden="false" customHeight="true" outlineLevel="0" collapsed="false">
      <c r="A554" s="7"/>
    </row>
    <row r="555" customFormat="false" ht="14.25" hidden="false" customHeight="true" outlineLevel="0" collapsed="false">
      <c r="A555" s="7"/>
    </row>
    <row r="556" customFormat="false" ht="14.25" hidden="false" customHeight="true" outlineLevel="0" collapsed="false">
      <c r="A556" s="7"/>
    </row>
    <row r="557" customFormat="false" ht="14.25" hidden="false" customHeight="true" outlineLevel="0" collapsed="false">
      <c r="A557" s="7"/>
    </row>
    <row r="558" customFormat="false" ht="14.25" hidden="false" customHeight="true" outlineLevel="0" collapsed="false">
      <c r="A558" s="7"/>
    </row>
    <row r="559" customFormat="false" ht="14.25" hidden="false" customHeight="true" outlineLevel="0" collapsed="false">
      <c r="A559" s="7"/>
    </row>
    <row r="560" customFormat="false" ht="14.25" hidden="false" customHeight="true" outlineLevel="0" collapsed="false">
      <c r="A560" s="7"/>
    </row>
    <row r="561" customFormat="false" ht="14.25" hidden="false" customHeight="true" outlineLevel="0" collapsed="false">
      <c r="A561" s="7"/>
    </row>
    <row r="562" customFormat="false" ht="14.25" hidden="false" customHeight="true" outlineLevel="0" collapsed="false">
      <c r="A562" s="7"/>
    </row>
    <row r="563" customFormat="false" ht="14.25" hidden="false" customHeight="true" outlineLevel="0" collapsed="false">
      <c r="A563" s="7"/>
    </row>
    <row r="564" customFormat="false" ht="14.25" hidden="false" customHeight="true" outlineLevel="0" collapsed="false">
      <c r="A564" s="7"/>
    </row>
    <row r="565" customFormat="false" ht="14.25" hidden="false" customHeight="true" outlineLevel="0" collapsed="false">
      <c r="A565" s="7"/>
    </row>
    <row r="566" customFormat="false" ht="14.25" hidden="false" customHeight="true" outlineLevel="0" collapsed="false">
      <c r="A566" s="7"/>
    </row>
    <row r="567" customFormat="false" ht="14.25" hidden="false" customHeight="true" outlineLevel="0" collapsed="false">
      <c r="A567" s="7"/>
    </row>
    <row r="568" customFormat="false" ht="14.25" hidden="false" customHeight="true" outlineLevel="0" collapsed="false">
      <c r="A568" s="7"/>
    </row>
    <row r="569" customFormat="false" ht="14.25" hidden="false" customHeight="true" outlineLevel="0" collapsed="false">
      <c r="A569" s="7"/>
    </row>
    <row r="570" customFormat="false" ht="14.25" hidden="false" customHeight="true" outlineLevel="0" collapsed="false">
      <c r="A570" s="7"/>
    </row>
    <row r="571" customFormat="false" ht="14.25" hidden="false" customHeight="true" outlineLevel="0" collapsed="false">
      <c r="A571" s="7"/>
    </row>
    <row r="572" customFormat="false" ht="14.25" hidden="false" customHeight="true" outlineLevel="0" collapsed="false">
      <c r="A572" s="7"/>
    </row>
    <row r="573" customFormat="false" ht="14.25" hidden="false" customHeight="true" outlineLevel="0" collapsed="false">
      <c r="A573" s="7"/>
    </row>
    <row r="574" customFormat="false" ht="14.25" hidden="false" customHeight="true" outlineLevel="0" collapsed="false">
      <c r="A574" s="7"/>
    </row>
    <row r="575" customFormat="false" ht="14.25" hidden="false" customHeight="true" outlineLevel="0" collapsed="false">
      <c r="A575" s="7"/>
    </row>
    <row r="576" customFormat="false" ht="14.25" hidden="false" customHeight="true" outlineLevel="0" collapsed="false">
      <c r="A576" s="7"/>
    </row>
    <row r="577" customFormat="false" ht="14.25" hidden="false" customHeight="true" outlineLevel="0" collapsed="false">
      <c r="A577" s="7"/>
    </row>
    <row r="578" customFormat="false" ht="14.25" hidden="false" customHeight="true" outlineLevel="0" collapsed="false">
      <c r="A578" s="7"/>
    </row>
    <row r="579" customFormat="false" ht="14.25" hidden="false" customHeight="true" outlineLevel="0" collapsed="false">
      <c r="A579" s="7"/>
    </row>
    <row r="580" customFormat="false" ht="14.25" hidden="false" customHeight="true" outlineLevel="0" collapsed="false">
      <c r="A580" s="7"/>
    </row>
    <row r="581" customFormat="false" ht="14.25" hidden="false" customHeight="true" outlineLevel="0" collapsed="false">
      <c r="A581" s="7"/>
    </row>
    <row r="582" customFormat="false" ht="14.25" hidden="false" customHeight="true" outlineLevel="0" collapsed="false">
      <c r="A582" s="7"/>
    </row>
    <row r="583" customFormat="false" ht="14.25" hidden="false" customHeight="true" outlineLevel="0" collapsed="false">
      <c r="A583" s="7"/>
    </row>
    <row r="584" customFormat="false" ht="14.25" hidden="false" customHeight="true" outlineLevel="0" collapsed="false">
      <c r="A584" s="7"/>
    </row>
    <row r="585" customFormat="false" ht="14.25" hidden="false" customHeight="true" outlineLevel="0" collapsed="false">
      <c r="A585" s="7"/>
    </row>
    <row r="586" customFormat="false" ht="14.25" hidden="false" customHeight="true" outlineLevel="0" collapsed="false">
      <c r="A586" s="7"/>
    </row>
    <row r="587" customFormat="false" ht="14.25" hidden="false" customHeight="true" outlineLevel="0" collapsed="false">
      <c r="A587" s="7"/>
    </row>
    <row r="588" customFormat="false" ht="14.25" hidden="false" customHeight="true" outlineLevel="0" collapsed="false">
      <c r="A588" s="7"/>
    </row>
    <row r="589" customFormat="false" ht="14.25" hidden="false" customHeight="true" outlineLevel="0" collapsed="false">
      <c r="A589" s="7"/>
    </row>
    <row r="590" customFormat="false" ht="14.25" hidden="false" customHeight="true" outlineLevel="0" collapsed="false">
      <c r="A590" s="7"/>
    </row>
    <row r="591" customFormat="false" ht="14.25" hidden="false" customHeight="true" outlineLevel="0" collapsed="false">
      <c r="A591" s="7"/>
    </row>
    <row r="592" customFormat="false" ht="14.25" hidden="false" customHeight="true" outlineLevel="0" collapsed="false">
      <c r="A592" s="7"/>
    </row>
    <row r="593" customFormat="false" ht="14.25" hidden="false" customHeight="true" outlineLevel="0" collapsed="false">
      <c r="A593" s="7"/>
    </row>
    <row r="594" customFormat="false" ht="14.25" hidden="false" customHeight="true" outlineLevel="0" collapsed="false">
      <c r="A594" s="7"/>
    </row>
    <row r="595" customFormat="false" ht="14.25" hidden="false" customHeight="true" outlineLevel="0" collapsed="false">
      <c r="A595" s="7"/>
    </row>
    <row r="596" customFormat="false" ht="14.25" hidden="false" customHeight="true" outlineLevel="0" collapsed="false">
      <c r="A596" s="7"/>
    </row>
    <row r="597" customFormat="false" ht="14.25" hidden="false" customHeight="true" outlineLevel="0" collapsed="false">
      <c r="A597" s="7"/>
    </row>
    <row r="598" customFormat="false" ht="14.25" hidden="false" customHeight="true" outlineLevel="0" collapsed="false">
      <c r="A598" s="7"/>
    </row>
    <row r="599" customFormat="false" ht="14.25" hidden="false" customHeight="true" outlineLevel="0" collapsed="false">
      <c r="A599" s="7"/>
    </row>
    <row r="600" customFormat="false" ht="14.25" hidden="false" customHeight="true" outlineLevel="0" collapsed="false">
      <c r="A600" s="7"/>
    </row>
    <row r="601" customFormat="false" ht="14.25" hidden="false" customHeight="true" outlineLevel="0" collapsed="false">
      <c r="A601" s="7"/>
    </row>
    <row r="602" customFormat="false" ht="14.25" hidden="false" customHeight="true" outlineLevel="0" collapsed="false">
      <c r="A602" s="7"/>
    </row>
    <row r="603" customFormat="false" ht="14.25" hidden="false" customHeight="true" outlineLevel="0" collapsed="false">
      <c r="A603" s="7"/>
    </row>
    <row r="604" customFormat="false" ht="14.25" hidden="false" customHeight="true" outlineLevel="0" collapsed="false">
      <c r="A604" s="7"/>
    </row>
    <row r="605" customFormat="false" ht="14.25" hidden="false" customHeight="true" outlineLevel="0" collapsed="false">
      <c r="A605" s="7"/>
    </row>
    <row r="606" customFormat="false" ht="14.25" hidden="false" customHeight="true" outlineLevel="0" collapsed="false">
      <c r="A606" s="7"/>
    </row>
    <row r="607" customFormat="false" ht="14.25" hidden="false" customHeight="true" outlineLevel="0" collapsed="false">
      <c r="A607" s="7"/>
    </row>
    <row r="608" customFormat="false" ht="14.25" hidden="false" customHeight="true" outlineLevel="0" collapsed="false">
      <c r="A608" s="7"/>
    </row>
    <row r="609" customFormat="false" ht="14.25" hidden="false" customHeight="true" outlineLevel="0" collapsed="false">
      <c r="A609" s="7"/>
    </row>
    <row r="610" customFormat="false" ht="14.25" hidden="false" customHeight="true" outlineLevel="0" collapsed="false">
      <c r="A610" s="7"/>
    </row>
    <row r="611" customFormat="false" ht="14.25" hidden="false" customHeight="true" outlineLevel="0" collapsed="false">
      <c r="A611" s="7"/>
    </row>
    <row r="612" customFormat="false" ht="14.25" hidden="false" customHeight="true" outlineLevel="0" collapsed="false">
      <c r="A612" s="7"/>
    </row>
    <row r="613" customFormat="false" ht="14.25" hidden="false" customHeight="true" outlineLevel="0" collapsed="false">
      <c r="A613" s="7"/>
    </row>
    <row r="614" customFormat="false" ht="14.25" hidden="false" customHeight="true" outlineLevel="0" collapsed="false">
      <c r="A614" s="7"/>
    </row>
    <row r="615" customFormat="false" ht="14.25" hidden="false" customHeight="true" outlineLevel="0" collapsed="false">
      <c r="A615" s="7"/>
    </row>
    <row r="616" customFormat="false" ht="14.25" hidden="false" customHeight="true" outlineLevel="0" collapsed="false">
      <c r="A616" s="7"/>
    </row>
    <row r="617" customFormat="false" ht="14.25" hidden="false" customHeight="true" outlineLevel="0" collapsed="false">
      <c r="A617" s="7"/>
    </row>
    <row r="618" customFormat="false" ht="14.25" hidden="false" customHeight="true" outlineLevel="0" collapsed="false">
      <c r="A618" s="7"/>
    </row>
    <row r="619" customFormat="false" ht="14.25" hidden="false" customHeight="true" outlineLevel="0" collapsed="false">
      <c r="A619" s="7"/>
    </row>
    <row r="620" customFormat="false" ht="14.25" hidden="false" customHeight="true" outlineLevel="0" collapsed="false">
      <c r="A620" s="7"/>
    </row>
    <row r="621" customFormat="false" ht="14.25" hidden="false" customHeight="true" outlineLevel="0" collapsed="false">
      <c r="A621" s="7"/>
    </row>
    <row r="622" customFormat="false" ht="14.25" hidden="false" customHeight="true" outlineLevel="0" collapsed="false">
      <c r="A622" s="7"/>
    </row>
    <row r="623" customFormat="false" ht="14.25" hidden="false" customHeight="true" outlineLevel="0" collapsed="false">
      <c r="A623" s="7"/>
    </row>
    <row r="624" customFormat="false" ht="14.25" hidden="false" customHeight="true" outlineLevel="0" collapsed="false">
      <c r="A624" s="7"/>
    </row>
    <row r="625" customFormat="false" ht="14.25" hidden="false" customHeight="true" outlineLevel="0" collapsed="false">
      <c r="A625" s="7"/>
    </row>
    <row r="626" customFormat="false" ht="14.25" hidden="false" customHeight="true" outlineLevel="0" collapsed="false">
      <c r="A626" s="7"/>
    </row>
    <row r="627" customFormat="false" ht="14.25" hidden="false" customHeight="true" outlineLevel="0" collapsed="false">
      <c r="A627" s="7"/>
    </row>
    <row r="628" customFormat="false" ht="14.25" hidden="false" customHeight="true" outlineLevel="0" collapsed="false">
      <c r="A628" s="7"/>
    </row>
    <row r="629" customFormat="false" ht="14.25" hidden="false" customHeight="true" outlineLevel="0" collapsed="false">
      <c r="A629" s="7"/>
    </row>
    <row r="630" customFormat="false" ht="14.25" hidden="false" customHeight="true" outlineLevel="0" collapsed="false">
      <c r="A630" s="7"/>
    </row>
    <row r="631" customFormat="false" ht="14.25" hidden="false" customHeight="true" outlineLevel="0" collapsed="false">
      <c r="A631" s="7"/>
    </row>
    <row r="632" customFormat="false" ht="14.25" hidden="false" customHeight="true" outlineLevel="0" collapsed="false">
      <c r="A632" s="7"/>
    </row>
    <row r="633" customFormat="false" ht="14.25" hidden="false" customHeight="true" outlineLevel="0" collapsed="false">
      <c r="A633" s="7"/>
    </row>
    <row r="634" customFormat="false" ht="14.25" hidden="false" customHeight="true" outlineLevel="0" collapsed="false">
      <c r="A634" s="7"/>
    </row>
    <row r="635" customFormat="false" ht="14.25" hidden="false" customHeight="true" outlineLevel="0" collapsed="false">
      <c r="A635" s="7"/>
    </row>
    <row r="636" customFormat="false" ht="14.25" hidden="false" customHeight="true" outlineLevel="0" collapsed="false">
      <c r="A636" s="7"/>
    </row>
    <row r="637" customFormat="false" ht="14.25" hidden="false" customHeight="true" outlineLevel="0" collapsed="false">
      <c r="A637" s="7"/>
    </row>
    <row r="638" customFormat="false" ht="14.25" hidden="false" customHeight="true" outlineLevel="0" collapsed="false">
      <c r="A638" s="7"/>
    </row>
    <row r="639" customFormat="false" ht="14.25" hidden="false" customHeight="true" outlineLevel="0" collapsed="false">
      <c r="A639" s="7"/>
    </row>
    <row r="640" customFormat="false" ht="14.25" hidden="false" customHeight="true" outlineLevel="0" collapsed="false">
      <c r="A640" s="7"/>
    </row>
    <row r="641" customFormat="false" ht="14.25" hidden="false" customHeight="true" outlineLevel="0" collapsed="false">
      <c r="A641" s="7"/>
    </row>
    <row r="642" customFormat="false" ht="14.25" hidden="false" customHeight="true" outlineLevel="0" collapsed="false">
      <c r="A642" s="7"/>
    </row>
    <row r="643" customFormat="false" ht="14.25" hidden="false" customHeight="true" outlineLevel="0" collapsed="false">
      <c r="A643" s="7"/>
    </row>
    <row r="644" customFormat="false" ht="14.25" hidden="false" customHeight="true" outlineLevel="0" collapsed="false">
      <c r="A644" s="7"/>
    </row>
    <row r="645" customFormat="false" ht="14.25" hidden="false" customHeight="true" outlineLevel="0" collapsed="false">
      <c r="A645" s="7"/>
    </row>
    <row r="646" customFormat="false" ht="14.25" hidden="false" customHeight="true" outlineLevel="0" collapsed="false">
      <c r="A646" s="7"/>
    </row>
    <row r="647" customFormat="false" ht="14.25" hidden="false" customHeight="true" outlineLevel="0" collapsed="false">
      <c r="A647" s="7"/>
    </row>
    <row r="648" customFormat="false" ht="14.25" hidden="false" customHeight="true" outlineLevel="0" collapsed="false">
      <c r="A648" s="7"/>
    </row>
    <row r="649" customFormat="false" ht="14.25" hidden="false" customHeight="true" outlineLevel="0" collapsed="false">
      <c r="A649" s="7"/>
    </row>
    <row r="650" customFormat="false" ht="14.25" hidden="false" customHeight="true" outlineLevel="0" collapsed="false">
      <c r="A650" s="7"/>
    </row>
    <row r="651" customFormat="false" ht="14.25" hidden="false" customHeight="true" outlineLevel="0" collapsed="false">
      <c r="A651" s="7"/>
    </row>
    <row r="652" customFormat="false" ht="14.25" hidden="false" customHeight="true" outlineLevel="0" collapsed="false">
      <c r="A652" s="7"/>
    </row>
    <row r="653" customFormat="false" ht="14.25" hidden="false" customHeight="true" outlineLevel="0" collapsed="false">
      <c r="A653" s="7"/>
    </row>
    <row r="654" customFormat="false" ht="14.25" hidden="false" customHeight="true" outlineLevel="0" collapsed="false">
      <c r="A654" s="7"/>
    </row>
    <row r="655" customFormat="false" ht="14.25" hidden="false" customHeight="true" outlineLevel="0" collapsed="false">
      <c r="A655" s="7"/>
    </row>
    <row r="656" customFormat="false" ht="14.25" hidden="false" customHeight="true" outlineLevel="0" collapsed="false">
      <c r="A656" s="7"/>
    </row>
    <row r="657" customFormat="false" ht="14.25" hidden="false" customHeight="true" outlineLevel="0" collapsed="false">
      <c r="A657" s="7"/>
    </row>
    <row r="658" customFormat="false" ht="14.25" hidden="false" customHeight="true" outlineLevel="0" collapsed="false">
      <c r="A658" s="7"/>
    </row>
    <row r="659" customFormat="false" ht="14.25" hidden="false" customHeight="true" outlineLevel="0" collapsed="false">
      <c r="A659" s="7"/>
    </row>
    <row r="660" customFormat="false" ht="14.25" hidden="false" customHeight="true" outlineLevel="0" collapsed="false">
      <c r="A660" s="7"/>
    </row>
    <row r="661" customFormat="false" ht="14.25" hidden="false" customHeight="true" outlineLevel="0" collapsed="false">
      <c r="A661" s="7"/>
    </row>
    <row r="662" customFormat="false" ht="14.25" hidden="false" customHeight="true" outlineLevel="0" collapsed="false">
      <c r="A662" s="7"/>
    </row>
    <row r="663" customFormat="false" ht="14.25" hidden="false" customHeight="true" outlineLevel="0" collapsed="false">
      <c r="A663" s="7"/>
    </row>
    <row r="664" customFormat="false" ht="14.25" hidden="false" customHeight="true" outlineLevel="0" collapsed="false">
      <c r="A664" s="7"/>
    </row>
    <row r="665" customFormat="false" ht="14.25" hidden="false" customHeight="true" outlineLevel="0" collapsed="false">
      <c r="A665" s="7"/>
    </row>
    <row r="666" customFormat="false" ht="14.25" hidden="false" customHeight="true" outlineLevel="0" collapsed="false">
      <c r="A666" s="7"/>
    </row>
    <row r="667" customFormat="false" ht="14.25" hidden="false" customHeight="true" outlineLevel="0" collapsed="false">
      <c r="A667" s="7"/>
    </row>
    <row r="668" customFormat="false" ht="14.25" hidden="false" customHeight="true" outlineLevel="0" collapsed="false">
      <c r="A668" s="7"/>
    </row>
    <row r="669" customFormat="false" ht="14.25" hidden="false" customHeight="true" outlineLevel="0" collapsed="false">
      <c r="A669" s="7"/>
    </row>
    <row r="670" customFormat="false" ht="14.25" hidden="false" customHeight="true" outlineLevel="0" collapsed="false">
      <c r="A670" s="7"/>
    </row>
    <row r="671" customFormat="false" ht="14.25" hidden="false" customHeight="true" outlineLevel="0" collapsed="false">
      <c r="A671" s="7"/>
    </row>
    <row r="672" customFormat="false" ht="14.25" hidden="false" customHeight="true" outlineLevel="0" collapsed="false">
      <c r="A672" s="7"/>
    </row>
    <row r="673" customFormat="false" ht="14.25" hidden="false" customHeight="true" outlineLevel="0" collapsed="false">
      <c r="A673" s="7"/>
    </row>
    <row r="674" customFormat="false" ht="14.25" hidden="false" customHeight="true" outlineLevel="0" collapsed="false">
      <c r="A674" s="7"/>
    </row>
    <row r="675" customFormat="false" ht="14.25" hidden="false" customHeight="true" outlineLevel="0" collapsed="false">
      <c r="A675" s="7"/>
    </row>
    <row r="676" customFormat="false" ht="14.25" hidden="false" customHeight="true" outlineLevel="0" collapsed="false">
      <c r="A676" s="7"/>
    </row>
    <row r="677" customFormat="false" ht="14.25" hidden="false" customHeight="true" outlineLevel="0" collapsed="false">
      <c r="A677" s="7"/>
    </row>
    <row r="678" customFormat="false" ht="14.25" hidden="false" customHeight="true" outlineLevel="0" collapsed="false">
      <c r="A678" s="7"/>
    </row>
    <row r="679" customFormat="false" ht="14.25" hidden="false" customHeight="true" outlineLevel="0" collapsed="false">
      <c r="A679" s="7"/>
    </row>
    <row r="680" customFormat="false" ht="14.25" hidden="false" customHeight="true" outlineLevel="0" collapsed="false">
      <c r="A680" s="7"/>
    </row>
    <row r="681" customFormat="false" ht="14.25" hidden="false" customHeight="true" outlineLevel="0" collapsed="false">
      <c r="A681" s="7"/>
    </row>
    <row r="682" customFormat="false" ht="14.25" hidden="false" customHeight="true" outlineLevel="0" collapsed="false">
      <c r="A682" s="7"/>
    </row>
    <row r="683" customFormat="false" ht="14.25" hidden="false" customHeight="true" outlineLevel="0" collapsed="false">
      <c r="A683" s="7"/>
    </row>
    <row r="684" customFormat="false" ht="14.25" hidden="false" customHeight="true" outlineLevel="0" collapsed="false">
      <c r="A684" s="7"/>
    </row>
    <row r="685" customFormat="false" ht="14.25" hidden="false" customHeight="true" outlineLevel="0" collapsed="false">
      <c r="A685" s="7"/>
    </row>
    <row r="686" customFormat="false" ht="14.25" hidden="false" customHeight="true" outlineLevel="0" collapsed="false">
      <c r="A686" s="7"/>
    </row>
    <row r="687" customFormat="false" ht="14.25" hidden="false" customHeight="true" outlineLevel="0" collapsed="false">
      <c r="A687" s="7"/>
    </row>
    <row r="688" customFormat="false" ht="14.25" hidden="false" customHeight="true" outlineLevel="0" collapsed="false">
      <c r="A688" s="7"/>
    </row>
    <row r="689" customFormat="false" ht="14.25" hidden="false" customHeight="true" outlineLevel="0" collapsed="false">
      <c r="A689" s="7"/>
    </row>
    <row r="690" customFormat="false" ht="14.25" hidden="false" customHeight="true" outlineLevel="0" collapsed="false">
      <c r="A690" s="7"/>
    </row>
    <row r="691" customFormat="false" ht="14.25" hidden="false" customHeight="true" outlineLevel="0" collapsed="false">
      <c r="A691" s="7"/>
    </row>
    <row r="692" customFormat="false" ht="14.25" hidden="false" customHeight="true" outlineLevel="0" collapsed="false">
      <c r="A692" s="7"/>
    </row>
    <row r="693" customFormat="false" ht="14.25" hidden="false" customHeight="true" outlineLevel="0" collapsed="false">
      <c r="A693" s="7"/>
    </row>
    <row r="694" customFormat="false" ht="14.25" hidden="false" customHeight="true" outlineLevel="0" collapsed="false">
      <c r="A694" s="7"/>
    </row>
    <row r="695" customFormat="false" ht="14.25" hidden="false" customHeight="true" outlineLevel="0" collapsed="false">
      <c r="A695" s="7"/>
    </row>
    <row r="696" customFormat="false" ht="14.25" hidden="false" customHeight="true" outlineLevel="0" collapsed="false">
      <c r="A696" s="7"/>
    </row>
    <row r="697" customFormat="false" ht="14.25" hidden="false" customHeight="true" outlineLevel="0" collapsed="false">
      <c r="A697" s="7"/>
    </row>
    <row r="698" customFormat="false" ht="14.25" hidden="false" customHeight="true" outlineLevel="0" collapsed="false">
      <c r="A698" s="7"/>
    </row>
    <row r="699" customFormat="false" ht="14.25" hidden="false" customHeight="true" outlineLevel="0" collapsed="false">
      <c r="A699" s="7"/>
    </row>
    <row r="700" customFormat="false" ht="14.25" hidden="false" customHeight="true" outlineLevel="0" collapsed="false">
      <c r="A700" s="7"/>
    </row>
    <row r="701" customFormat="false" ht="14.25" hidden="false" customHeight="true" outlineLevel="0" collapsed="false">
      <c r="A701" s="7"/>
    </row>
    <row r="702" customFormat="false" ht="14.25" hidden="false" customHeight="true" outlineLevel="0" collapsed="false">
      <c r="A702" s="7"/>
    </row>
    <row r="703" customFormat="false" ht="14.25" hidden="false" customHeight="true" outlineLevel="0" collapsed="false">
      <c r="A703" s="7"/>
    </row>
    <row r="704" customFormat="false" ht="14.25" hidden="false" customHeight="true" outlineLevel="0" collapsed="false">
      <c r="A704" s="7"/>
    </row>
    <row r="705" customFormat="false" ht="14.25" hidden="false" customHeight="true" outlineLevel="0" collapsed="false">
      <c r="A705" s="7"/>
    </row>
    <row r="706" customFormat="false" ht="14.25" hidden="false" customHeight="true" outlineLevel="0" collapsed="false">
      <c r="A706" s="7"/>
    </row>
    <row r="707" customFormat="false" ht="14.25" hidden="false" customHeight="true" outlineLevel="0" collapsed="false">
      <c r="A707" s="7"/>
    </row>
    <row r="708" customFormat="false" ht="14.25" hidden="false" customHeight="true" outlineLevel="0" collapsed="false">
      <c r="A708" s="7"/>
    </row>
    <row r="709" customFormat="false" ht="14.25" hidden="false" customHeight="true" outlineLevel="0" collapsed="false">
      <c r="A709" s="7"/>
    </row>
    <row r="710" customFormat="false" ht="14.25" hidden="false" customHeight="true" outlineLevel="0" collapsed="false">
      <c r="A710" s="7"/>
    </row>
    <row r="711" customFormat="false" ht="14.25" hidden="false" customHeight="true" outlineLevel="0" collapsed="false">
      <c r="A711" s="7"/>
    </row>
    <row r="712" customFormat="false" ht="14.25" hidden="false" customHeight="true" outlineLevel="0" collapsed="false">
      <c r="A712" s="7"/>
    </row>
    <row r="713" customFormat="false" ht="14.25" hidden="false" customHeight="true" outlineLevel="0" collapsed="false">
      <c r="A713" s="7"/>
    </row>
    <row r="714" customFormat="false" ht="14.25" hidden="false" customHeight="true" outlineLevel="0" collapsed="false">
      <c r="A714" s="7"/>
    </row>
    <row r="715" customFormat="false" ht="14.25" hidden="false" customHeight="true" outlineLevel="0" collapsed="false">
      <c r="A715" s="7"/>
    </row>
    <row r="716" customFormat="false" ht="14.25" hidden="false" customHeight="true" outlineLevel="0" collapsed="false">
      <c r="A716" s="7"/>
    </row>
    <row r="717" customFormat="false" ht="14.25" hidden="false" customHeight="true" outlineLevel="0" collapsed="false">
      <c r="A717" s="7"/>
    </row>
    <row r="718" customFormat="false" ht="14.25" hidden="false" customHeight="true" outlineLevel="0" collapsed="false">
      <c r="A718" s="7"/>
    </row>
    <row r="719" customFormat="false" ht="14.25" hidden="false" customHeight="true" outlineLevel="0" collapsed="false">
      <c r="A719" s="7"/>
    </row>
    <row r="720" customFormat="false" ht="14.25" hidden="false" customHeight="true" outlineLevel="0" collapsed="false">
      <c r="A720" s="7"/>
    </row>
    <row r="721" customFormat="false" ht="14.25" hidden="false" customHeight="true" outlineLevel="0" collapsed="false">
      <c r="A721" s="7"/>
    </row>
    <row r="722" customFormat="false" ht="14.25" hidden="false" customHeight="true" outlineLevel="0" collapsed="false">
      <c r="A722" s="7"/>
    </row>
    <row r="723" customFormat="false" ht="14.25" hidden="false" customHeight="true" outlineLevel="0" collapsed="false">
      <c r="A723" s="7"/>
    </row>
    <row r="724" customFormat="false" ht="14.25" hidden="false" customHeight="true" outlineLevel="0" collapsed="false">
      <c r="A724" s="7"/>
    </row>
    <row r="725" customFormat="false" ht="14.25" hidden="false" customHeight="true" outlineLevel="0" collapsed="false">
      <c r="A725" s="7"/>
    </row>
    <row r="726" customFormat="false" ht="14.25" hidden="false" customHeight="true" outlineLevel="0" collapsed="false">
      <c r="A726" s="7"/>
    </row>
    <row r="727" customFormat="false" ht="14.25" hidden="false" customHeight="true" outlineLevel="0" collapsed="false">
      <c r="A727" s="7"/>
    </row>
    <row r="728" customFormat="false" ht="14.25" hidden="false" customHeight="true" outlineLevel="0" collapsed="false">
      <c r="A728" s="7"/>
    </row>
    <row r="729" customFormat="false" ht="14.25" hidden="false" customHeight="true" outlineLevel="0" collapsed="false">
      <c r="A729" s="7"/>
    </row>
    <row r="730" customFormat="false" ht="14.25" hidden="false" customHeight="true" outlineLevel="0" collapsed="false">
      <c r="A730" s="7"/>
    </row>
    <row r="731" customFormat="false" ht="14.25" hidden="false" customHeight="true" outlineLevel="0" collapsed="false">
      <c r="A731" s="7"/>
    </row>
    <row r="732" customFormat="false" ht="14.25" hidden="false" customHeight="true" outlineLevel="0" collapsed="false">
      <c r="A732" s="7"/>
    </row>
    <row r="733" customFormat="false" ht="14.25" hidden="false" customHeight="true" outlineLevel="0" collapsed="false">
      <c r="A733" s="7"/>
    </row>
    <row r="734" customFormat="false" ht="14.25" hidden="false" customHeight="true" outlineLevel="0" collapsed="false">
      <c r="A734" s="7"/>
    </row>
    <row r="735" customFormat="false" ht="14.25" hidden="false" customHeight="true" outlineLevel="0" collapsed="false">
      <c r="A735" s="7"/>
    </row>
    <row r="736" customFormat="false" ht="14.25" hidden="false" customHeight="true" outlineLevel="0" collapsed="false">
      <c r="A736" s="7"/>
    </row>
    <row r="737" customFormat="false" ht="14.25" hidden="false" customHeight="true" outlineLevel="0" collapsed="false">
      <c r="A737" s="7"/>
    </row>
    <row r="738" customFormat="false" ht="14.25" hidden="false" customHeight="true" outlineLevel="0" collapsed="false">
      <c r="A738" s="7"/>
    </row>
    <row r="739" customFormat="false" ht="14.25" hidden="false" customHeight="true" outlineLevel="0" collapsed="false">
      <c r="A739" s="7"/>
    </row>
    <row r="740" customFormat="false" ht="14.25" hidden="false" customHeight="true" outlineLevel="0" collapsed="false">
      <c r="A740" s="7"/>
    </row>
    <row r="741" customFormat="false" ht="14.25" hidden="false" customHeight="true" outlineLevel="0" collapsed="false">
      <c r="A741" s="7"/>
    </row>
    <row r="742" customFormat="false" ht="14.25" hidden="false" customHeight="true" outlineLevel="0" collapsed="false">
      <c r="A742" s="7"/>
    </row>
    <row r="743" customFormat="false" ht="14.25" hidden="false" customHeight="true" outlineLevel="0" collapsed="false">
      <c r="A743" s="7"/>
    </row>
    <row r="744" customFormat="false" ht="14.25" hidden="false" customHeight="true" outlineLevel="0" collapsed="false">
      <c r="A744" s="7"/>
    </row>
    <row r="745" customFormat="false" ht="14.25" hidden="false" customHeight="true" outlineLevel="0" collapsed="false">
      <c r="A745" s="7"/>
    </row>
    <row r="746" customFormat="false" ht="14.25" hidden="false" customHeight="true" outlineLevel="0" collapsed="false">
      <c r="A746" s="7"/>
    </row>
    <row r="747" customFormat="false" ht="14.25" hidden="false" customHeight="true" outlineLevel="0" collapsed="false">
      <c r="A747" s="7"/>
    </row>
    <row r="748" customFormat="false" ht="14.25" hidden="false" customHeight="true" outlineLevel="0" collapsed="false">
      <c r="A748" s="7"/>
    </row>
    <row r="749" customFormat="false" ht="14.25" hidden="false" customHeight="true" outlineLevel="0" collapsed="false">
      <c r="A749" s="7"/>
    </row>
    <row r="750" customFormat="false" ht="14.25" hidden="false" customHeight="true" outlineLevel="0" collapsed="false">
      <c r="A750" s="7"/>
    </row>
    <row r="751" customFormat="false" ht="14.25" hidden="false" customHeight="true" outlineLevel="0" collapsed="false">
      <c r="A751" s="7"/>
    </row>
    <row r="752" customFormat="false" ht="14.25" hidden="false" customHeight="true" outlineLevel="0" collapsed="false">
      <c r="A752" s="7"/>
    </row>
    <row r="753" customFormat="false" ht="14.25" hidden="false" customHeight="true" outlineLevel="0" collapsed="false">
      <c r="A753" s="7"/>
    </row>
    <row r="754" customFormat="false" ht="14.25" hidden="false" customHeight="true" outlineLevel="0" collapsed="false">
      <c r="A754" s="7"/>
    </row>
    <row r="755" customFormat="false" ht="14.25" hidden="false" customHeight="true" outlineLevel="0" collapsed="false">
      <c r="A755" s="7"/>
    </row>
    <row r="756" customFormat="false" ht="14.25" hidden="false" customHeight="true" outlineLevel="0" collapsed="false">
      <c r="A756" s="7"/>
    </row>
    <row r="757" customFormat="false" ht="14.25" hidden="false" customHeight="true" outlineLevel="0" collapsed="false">
      <c r="A757" s="7"/>
    </row>
    <row r="758" customFormat="false" ht="14.25" hidden="false" customHeight="true" outlineLevel="0" collapsed="false">
      <c r="A758" s="7"/>
    </row>
    <row r="759" customFormat="false" ht="14.25" hidden="false" customHeight="true" outlineLevel="0" collapsed="false">
      <c r="A759" s="7"/>
    </row>
    <row r="760" customFormat="false" ht="14.25" hidden="false" customHeight="true" outlineLevel="0" collapsed="false">
      <c r="A760" s="7"/>
    </row>
    <row r="761" customFormat="false" ht="14.25" hidden="false" customHeight="true" outlineLevel="0" collapsed="false">
      <c r="A761" s="7"/>
    </row>
    <row r="762" customFormat="false" ht="14.25" hidden="false" customHeight="true" outlineLevel="0" collapsed="false">
      <c r="A762" s="7"/>
    </row>
    <row r="763" customFormat="false" ht="14.25" hidden="false" customHeight="true" outlineLevel="0" collapsed="false">
      <c r="A763" s="7"/>
    </row>
    <row r="764" customFormat="false" ht="14.25" hidden="false" customHeight="true" outlineLevel="0" collapsed="false">
      <c r="A764" s="7"/>
    </row>
    <row r="765" customFormat="false" ht="14.25" hidden="false" customHeight="true" outlineLevel="0" collapsed="false">
      <c r="A765" s="7"/>
    </row>
    <row r="766" customFormat="false" ht="14.25" hidden="false" customHeight="true" outlineLevel="0" collapsed="false">
      <c r="A766" s="7"/>
    </row>
    <row r="767" customFormat="false" ht="14.25" hidden="false" customHeight="true" outlineLevel="0" collapsed="false">
      <c r="A767" s="7"/>
    </row>
    <row r="768" customFormat="false" ht="14.25" hidden="false" customHeight="true" outlineLevel="0" collapsed="false">
      <c r="A768" s="7"/>
    </row>
    <row r="769" customFormat="false" ht="14.25" hidden="false" customHeight="true" outlineLevel="0" collapsed="false">
      <c r="A769" s="7"/>
    </row>
    <row r="770" customFormat="false" ht="14.25" hidden="false" customHeight="true" outlineLevel="0" collapsed="false">
      <c r="A770" s="7"/>
    </row>
    <row r="771" customFormat="false" ht="14.25" hidden="false" customHeight="true" outlineLevel="0" collapsed="false">
      <c r="A771" s="7"/>
    </row>
    <row r="772" customFormat="false" ht="14.25" hidden="false" customHeight="true" outlineLevel="0" collapsed="false">
      <c r="A772" s="7"/>
    </row>
    <row r="773" customFormat="false" ht="14.25" hidden="false" customHeight="true" outlineLevel="0" collapsed="false">
      <c r="A773" s="7"/>
    </row>
    <row r="774" customFormat="false" ht="14.25" hidden="false" customHeight="true" outlineLevel="0" collapsed="false">
      <c r="A774" s="7"/>
    </row>
    <row r="775" customFormat="false" ht="14.25" hidden="false" customHeight="true" outlineLevel="0" collapsed="false">
      <c r="A775" s="7"/>
    </row>
    <row r="776" customFormat="false" ht="14.25" hidden="false" customHeight="true" outlineLevel="0" collapsed="false">
      <c r="A776" s="7"/>
    </row>
    <row r="777" customFormat="false" ht="14.25" hidden="false" customHeight="true" outlineLevel="0" collapsed="false">
      <c r="A777" s="7"/>
    </row>
    <row r="778" customFormat="false" ht="14.25" hidden="false" customHeight="true" outlineLevel="0" collapsed="false">
      <c r="A778" s="7"/>
    </row>
    <row r="779" customFormat="false" ht="14.25" hidden="false" customHeight="true" outlineLevel="0" collapsed="false">
      <c r="A779" s="7"/>
    </row>
    <row r="780" customFormat="false" ht="14.25" hidden="false" customHeight="true" outlineLevel="0" collapsed="false">
      <c r="A780" s="7"/>
    </row>
    <row r="781" customFormat="false" ht="14.25" hidden="false" customHeight="true" outlineLevel="0" collapsed="false">
      <c r="A781" s="7"/>
    </row>
    <row r="782" customFormat="false" ht="14.25" hidden="false" customHeight="true" outlineLevel="0" collapsed="false">
      <c r="A782" s="7"/>
    </row>
    <row r="783" customFormat="false" ht="14.25" hidden="false" customHeight="true" outlineLevel="0" collapsed="false">
      <c r="A783" s="7"/>
    </row>
    <row r="784" customFormat="false" ht="14.25" hidden="false" customHeight="true" outlineLevel="0" collapsed="false">
      <c r="A784" s="7"/>
    </row>
    <row r="785" customFormat="false" ht="14.25" hidden="false" customHeight="true" outlineLevel="0" collapsed="false">
      <c r="A785" s="7"/>
    </row>
    <row r="786" customFormat="false" ht="14.25" hidden="false" customHeight="true" outlineLevel="0" collapsed="false">
      <c r="A786" s="7"/>
    </row>
    <row r="787" customFormat="false" ht="14.25" hidden="false" customHeight="true" outlineLevel="0" collapsed="false">
      <c r="A787" s="7"/>
    </row>
    <row r="788" customFormat="false" ht="14.25" hidden="false" customHeight="true" outlineLevel="0" collapsed="false">
      <c r="A788" s="7"/>
    </row>
    <row r="789" customFormat="false" ht="14.25" hidden="false" customHeight="true" outlineLevel="0" collapsed="false">
      <c r="A789" s="7"/>
    </row>
    <row r="790" customFormat="false" ht="14.25" hidden="false" customHeight="true" outlineLevel="0" collapsed="false">
      <c r="A790" s="7"/>
    </row>
    <row r="791" customFormat="false" ht="14.25" hidden="false" customHeight="true" outlineLevel="0" collapsed="false">
      <c r="A791" s="7"/>
    </row>
    <row r="792" customFormat="false" ht="14.25" hidden="false" customHeight="true" outlineLevel="0" collapsed="false">
      <c r="A792" s="7"/>
    </row>
    <row r="793" customFormat="false" ht="14.25" hidden="false" customHeight="true" outlineLevel="0" collapsed="false">
      <c r="A793" s="7"/>
    </row>
    <row r="794" customFormat="false" ht="14.25" hidden="false" customHeight="true" outlineLevel="0" collapsed="false">
      <c r="A794" s="7"/>
    </row>
    <row r="795" customFormat="false" ht="14.25" hidden="false" customHeight="true" outlineLevel="0" collapsed="false">
      <c r="A795" s="7"/>
    </row>
    <row r="796" customFormat="false" ht="14.25" hidden="false" customHeight="true" outlineLevel="0" collapsed="false">
      <c r="A796" s="7"/>
    </row>
    <row r="797" customFormat="false" ht="14.25" hidden="false" customHeight="true" outlineLevel="0" collapsed="false">
      <c r="A797" s="7"/>
    </row>
    <row r="798" customFormat="false" ht="14.25" hidden="false" customHeight="true" outlineLevel="0" collapsed="false">
      <c r="A798" s="7"/>
    </row>
    <row r="799" customFormat="false" ht="14.25" hidden="false" customHeight="true" outlineLevel="0" collapsed="false">
      <c r="A799" s="7"/>
    </row>
    <row r="800" customFormat="false" ht="14.25" hidden="false" customHeight="true" outlineLevel="0" collapsed="false">
      <c r="A800" s="7"/>
    </row>
    <row r="801" customFormat="false" ht="14.25" hidden="false" customHeight="true" outlineLevel="0" collapsed="false">
      <c r="A801" s="7"/>
    </row>
    <row r="802" customFormat="false" ht="14.25" hidden="false" customHeight="true" outlineLevel="0" collapsed="false">
      <c r="A802" s="7"/>
    </row>
    <row r="803" customFormat="false" ht="14.25" hidden="false" customHeight="true" outlineLevel="0" collapsed="false">
      <c r="A803" s="7"/>
    </row>
    <row r="804" customFormat="false" ht="14.25" hidden="false" customHeight="true" outlineLevel="0" collapsed="false">
      <c r="A804" s="7"/>
    </row>
    <row r="805" customFormat="false" ht="14.25" hidden="false" customHeight="true" outlineLevel="0" collapsed="false">
      <c r="A805" s="7"/>
    </row>
    <row r="806" customFormat="false" ht="14.25" hidden="false" customHeight="true" outlineLevel="0" collapsed="false">
      <c r="A806" s="7"/>
    </row>
    <row r="807" customFormat="false" ht="14.25" hidden="false" customHeight="true" outlineLevel="0" collapsed="false">
      <c r="A807" s="7"/>
    </row>
    <row r="808" customFormat="false" ht="14.25" hidden="false" customHeight="true" outlineLevel="0" collapsed="false">
      <c r="A808" s="7"/>
    </row>
    <row r="809" customFormat="false" ht="14.25" hidden="false" customHeight="true" outlineLevel="0" collapsed="false">
      <c r="A809" s="7"/>
    </row>
    <row r="810" customFormat="false" ht="14.25" hidden="false" customHeight="true" outlineLevel="0" collapsed="false">
      <c r="A810" s="7"/>
    </row>
    <row r="811" customFormat="false" ht="14.25" hidden="false" customHeight="true" outlineLevel="0" collapsed="false">
      <c r="A811" s="7"/>
    </row>
    <row r="812" customFormat="false" ht="14.25" hidden="false" customHeight="true" outlineLevel="0" collapsed="false">
      <c r="A812" s="7"/>
    </row>
    <row r="813" customFormat="false" ht="14.25" hidden="false" customHeight="true" outlineLevel="0" collapsed="false">
      <c r="A813" s="7"/>
    </row>
    <row r="814" customFormat="false" ht="14.25" hidden="false" customHeight="true" outlineLevel="0" collapsed="false">
      <c r="A814" s="7"/>
    </row>
    <row r="815" customFormat="false" ht="14.25" hidden="false" customHeight="true" outlineLevel="0" collapsed="false">
      <c r="A815" s="7"/>
    </row>
    <row r="816" customFormat="false" ht="14.25" hidden="false" customHeight="true" outlineLevel="0" collapsed="false">
      <c r="A816" s="7"/>
    </row>
    <row r="817" customFormat="false" ht="14.25" hidden="false" customHeight="true" outlineLevel="0" collapsed="false">
      <c r="A817" s="7"/>
    </row>
    <row r="818" customFormat="false" ht="14.25" hidden="false" customHeight="true" outlineLevel="0" collapsed="false">
      <c r="A818" s="7"/>
    </row>
    <row r="819" customFormat="false" ht="14.25" hidden="false" customHeight="true" outlineLevel="0" collapsed="false">
      <c r="A819" s="7"/>
    </row>
    <row r="820" customFormat="false" ht="14.25" hidden="false" customHeight="true" outlineLevel="0" collapsed="false">
      <c r="A820" s="7"/>
    </row>
    <row r="821" customFormat="false" ht="14.25" hidden="false" customHeight="true" outlineLevel="0" collapsed="false">
      <c r="A821" s="7"/>
    </row>
    <row r="822" customFormat="false" ht="14.25" hidden="false" customHeight="true" outlineLevel="0" collapsed="false">
      <c r="A822" s="7"/>
    </row>
    <row r="823" customFormat="false" ht="14.25" hidden="false" customHeight="true" outlineLevel="0" collapsed="false">
      <c r="A823" s="7"/>
    </row>
    <row r="824" customFormat="false" ht="14.25" hidden="false" customHeight="true" outlineLevel="0" collapsed="false">
      <c r="A824" s="7"/>
    </row>
    <row r="825" customFormat="false" ht="14.25" hidden="false" customHeight="true" outlineLevel="0" collapsed="false">
      <c r="A825" s="7"/>
    </row>
    <row r="826" customFormat="false" ht="14.25" hidden="false" customHeight="true" outlineLevel="0" collapsed="false">
      <c r="A826" s="7"/>
    </row>
    <row r="827" customFormat="false" ht="14.25" hidden="false" customHeight="true" outlineLevel="0" collapsed="false">
      <c r="A827" s="7"/>
    </row>
    <row r="828" customFormat="false" ht="14.25" hidden="false" customHeight="true" outlineLevel="0" collapsed="false">
      <c r="A828" s="7"/>
    </row>
    <row r="829" customFormat="false" ht="14.25" hidden="false" customHeight="true" outlineLevel="0" collapsed="false">
      <c r="A829" s="7"/>
    </row>
    <row r="830" customFormat="false" ht="14.25" hidden="false" customHeight="true" outlineLevel="0" collapsed="false">
      <c r="A830" s="7"/>
    </row>
    <row r="831" customFormat="false" ht="14.25" hidden="false" customHeight="true" outlineLevel="0" collapsed="false">
      <c r="A831" s="7"/>
    </row>
    <row r="832" customFormat="false" ht="14.25" hidden="false" customHeight="true" outlineLevel="0" collapsed="false">
      <c r="A832" s="7"/>
    </row>
    <row r="833" customFormat="false" ht="14.25" hidden="false" customHeight="true" outlineLevel="0" collapsed="false">
      <c r="A833" s="7"/>
    </row>
    <row r="834" customFormat="false" ht="14.25" hidden="false" customHeight="true" outlineLevel="0" collapsed="false">
      <c r="A834" s="7"/>
    </row>
    <row r="835" customFormat="false" ht="14.25" hidden="false" customHeight="true" outlineLevel="0" collapsed="false">
      <c r="A835" s="7"/>
    </row>
    <row r="836" customFormat="false" ht="14.25" hidden="false" customHeight="true" outlineLevel="0" collapsed="false">
      <c r="A836" s="7"/>
    </row>
    <row r="837" customFormat="false" ht="14.25" hidden="false" customHeight="true" outlineLevel="0" collapsed="false">
      <c r="A837" s="7"/>
    </row>
    <row r="838" customFormat="false" ht="14.25" hidden="false" customHeight="true" outlineLevel="0" collapsed="false">
      <c r="A838" s="7"/>
    </row>
    <row r="839" customFormat="false" ht="14.25" hidden="false" customHeight="true" outlineLevel="0" collapsed="false">
      <c r="A839" s="7"/>
    </row>
    <row r="840" customFormat="false" ht="14.25" hidden="false" customHeight="true" outlineLevel="0" collapsed="false">
      <c r="A840" s="7"/>
    </row>
    <row r="841" customFormat="false" ht="14.25" hidden="false" customHeight="true" outlineLevel="0" collapsed="false">
      <c r="A841" s="7"/>
    </row>
    <row r="842" customFormat="false" ht="14.25" hidden="false" customHeight="true" outlineLevel="0" collapsed="false">
      <c r="A842" s="7"/>
    </row>
    <row r="843" customFormat="false" ht="14.25" hidden="false" customHeight="true" outlineLevel="0" collapsed="false">
      <c r="A843" s="7"/>
    </row>
    <row r="844" customFormat="false" ht="14.25" hidden="false" customHeight="true" outlineLevel="0" collapsed="false">
      <c r="A844" s="7"/>
    </row>
    <row r="845" customFormat="false" ht="14.25" hidden="false" customHeight="true" outlineLevel="0" collapsed="false">
      <c r="A845" s="7"/>
    </row>
    <row r="846" customFormat="false" ht="14.25" hidden="false" customHeight="true" outlineLevel="0" collapsed="false">
      <c r="A846" s="7"/>
    </row>
    <row r="847" customFormat="false" ht="14.25" hidden="false" customHeight="true" outlineLevel="0" collapsed="false">
      <c r="A847" s="7"/>
    </row>
    <row r="848" customFormat="false" ht="14.25" hidden="false" customHeight="true" outlineLevel="0" collapsed="false">
      <c r="A848" s="7"/>
    </row>
    <row r="849" customFormat="false" ht="14.25" hidden="false" customHeight="true" outlineLevel="0" collapsed="false">
      <c r="A849" s="7"/>
    </row>
    <row r="850" customFormat="false" ht="14.25" hidden="false" customHeight="true" outlineLevel="0" collapsed="false">
      <c r="A850" s="7"/>
    </row>
    <row r="851" customFormat="false" ht="14.25" hidden="false" customHeight="true" outlineLevel="0" collapsed="false">
      <c r="A851" s="7"/>
    </row>
    <row r="852" customFormat="false" ht="14.25" hidden="false" customHeight="true" outlineLevel="0" collapsed="false">
      <c r="A852" s="7"/>
    </row>
    <row r="853" customFormat="false" ht="14.25" hidden="false" customHeight="true" outlineLevel="0" collapsed="false">
      <c r="A853" s="7"/>
    </row>
    <row r="854" customFormat="false" ht="14.25" hidden="false" customHeight="true" outlineLevel="0" collapsed="false">
      <c r="A854" s="7"/>
    </row>
    <row r="855" customFormat="false" ht="14.25" hidden="false" customHeight="true" outlineLevel="0" collapsed="false">
      <c r="A855" s="7"/>
    </row>
    <row r="856" customFormat="false" ht="14.25" hidden="false" customHeight="true" outlineLevel="0" collapsed="false">
      <c r="A856" s="7"/>
    </row>
    <row r="857" customFormat="false" ht="14.25" hidden="false" customHeight="true" outlineLevel="0" collapsed="false">
      <c r="A857" s="7"/>
    </row>
    <row r="858" customFormat="false" ht="14.25" hidden="false" customHeight="true" outlineLevel="0" collapsed="false">
      <c r="A858" s="7"/>
    </row>
    <row r="859" customFormat="false" ht="14.25" hidden="false" customHeight="true" outlineLevel="0" collapsed="false">
      <c r="A859" s="7"/>
    </row>
    <row r="860" customFormat="false" ht="14.25" hidden="false" customHeight="true" outlineLevel="0" collapsed="false">
      <c r="A860" s="7"/>
    </row>
    <row r="861" customFormat="false" ht="14.25" hidden="false" customHeight="true" outlineLevel="0" collapsed="false">
      <c r="A861" s="7"/>
    </row>
    <row r="862" customFormat="false" ht="14.25" hidden="false" customHeight="true" outlineLevel="0" collapsed="false">
      <c r="A862" s="7"/>
    </row>
    <row r="863" customFormat="false" ht="14.25" hidden="false" customHeight="true" outlineLevel="0" collapsed="false">
      <c r="A863" s="7"/>
    </row>
    <row r="864" customFormat="false" ht="14.25" hidden="false" customHeight="true" outlineLevel="0" collapsed="false">
      <c r="A864" s="7"/>
    </row>
    <row r="865" customFormat="false" ht="14.25" hidden="false" customHeight="true" outlineLevel="0" collapsed="false">
      <c r="A865" s="7"/>
    </row>
    <row r="866" customFormat="false" ht="14.25" hidden="false" customHeight="true" outlineLevel="0" collapsed="false">
      <c r="A866" s="7"/>
    </row>
    <row r="867" customFormat="false" ht="14.25" hidden="false" customHeight="true" outlineLevel="0" collapsed="false">
      <c r="A867" s="7"/>
    </row>
    <row r="868" customFormat="false" ht="14.25" hidden="false" customHeight="true" outlineLevel="0" collapsed="false">
      <c r="A868" s="7"/>
    </row>
    <row r="869" customFormat="false" ht="14.25" hidden="false" customHeight="true" outlineLevel="0" collapsed="false">
      <c r="A869" s="7"/>
    </row>
    <row r="870" customFormat="false" ht="14.25" hidden="false" customHeight="true" outlineLevel="0" collapsed="false">
      <c r="A870" s="7"/>
    </row>
    <row r="871" customFormat="false" ht="14.25" hidden="false" customHeight="true" outlineLevel="0" collapsed="false">
      <c r="A871" s="7"/>
    </row>
    <row r="872" customFormat="false" ht="14.25" hidden="false" customHeight="true" outlineLevel="0" collapsed="false">
      <c r="A872" s="7"/>
    </row>
    <row r="873" customFormat="false" ht="14.25" hidden="false" customHeight="true" outlineLevel="0" collapsed="false">
      <c r="A873" s="7"/>
    </row>
    <row r="874" customFormat="false" ht="14.25" hidden="false" customHeight="true" outlineLevel="0" collapsed="false">
      <c r="A874" s="7"/>
    </row>
    <row r="875" customFormat="false" ht="14.25" hidden="false" customHeight="true" outlineLevel="0" collapsed="false">
      <c r="A875" s="7"/>
    </row>
    <row r="876" customFormat="false" ht="14.25" hidden="false" customHeight="true" outlineLevel="0" collapsed="false">
      <c r="A876" s="7"/>
    </row>
    <row r="877" customFormat="false" ht="14.25" hidden="false" customHeight="true" outlineLevel="0" collapsed="false">
      <c r="A877" s="7"/>
    </row>
    <row r="878" customFormat="false" ht="14.25" hidden="false" customHeight="true" outlineLevel="0" collapsed="false">
      <c r="A878" s="7"/>
    </row>
    <row r="879" customFormat="false" ht="14.25" hidden="false" customHeight="true" outlineLevel="0" collapsed="false">
      <c r="A879" s="7"/>
    </row>
    <row r="880" customFormat="false" ht="14.25" hidden="false" customHeight="true" outlineLevel="0" collapsed="false">
      <c r="A880" s="7"/>
    </row>
    <row r="881" customFormat="false" ht="14.25" hidden="false" customHeight="true" outlineLevel="0" collapsed="false">
      <c r="A881" s="7"/>
    </row>
    <row r="882" customFormat="false" ht="14.25" hidden="false" customHeight="true" outlineLevel="0" collapsed="false">
      <c r="A882" s="7"/>
    </row>
    <row r="883" customFormat="false" ht="14.25" hidden="false" customHeight="true" outlineLevel="0" collapsed="false">
      <c r="A883" s="7"/>
    </row>
    <row r="884" customFormat="false" ht="14.25" hidden="false" customHeight="true" outlineLevel="0" collapsed="false">
      <c r="A884" s="7"/>
    </row>
    <row r="885" customFormat="false" ht="14.25" hidden="false" customHeight="true" outlineLevel="0" collapsed="false">
      <c r="A885" s="7"/>
    </row>
    <row r="886" customFormat="false" ht="14.25" hidden="false" customHeight="true" outlineLevel="0" collapsed="false">
      <c r="A886" s="7"/>
    </row>
    <row r="887" customFormat="false" ht="14.25" hidden="false" customHeight="true" outlineLevel="0" collapsed="false">
      <c r="A887" s="7"/>
    </row>
    <row r="888" customFormat="false" ht="14.25" hidden="false" customHeight="true" outlineLevel="0" collapsed="false">
      <c r="A888" s="7"/>
    </row>
    <row r="889" customFormat="false" ht="14.25" hidden="false" customHeight="true" outlineLevel="0" collapsed="false">
      <c r="A889" s="7"/>
    </row>
    <row r="890" customFormat="false" ht="14.25" hidden="false" customHeight="true" outlineLevel="0" collapsed="false">
      <c r="A890" s="7"/>
    </row>
    <row r="891" customFormat="false" ht="14.25" hidden="false" customHeight="true" outlineLevel="0" collapsed="false">
      <c r="A891" s="7"/>
    </row>
    <row r="892" customFormat="false" ht="14.25" hidden="false" customHeight="true" outlineLevel="0" collapsed="false">
      <c r="A892" s="7"/>
    </row>
    <row r="893" customFormat="false" ht="14.25" hidden="false" customHeight="true" outlineLevel="0" collapsed="false">
      <c r="A893" s="7"/>
    </row>
    <row r="894" customFormat="false" ht="14.25" hidden="false" customHeight="true" outlineLevel="0" collapsed="false">
      <c r="A894" s="7"/>
    </row>
    <row r="895" customFormat="false" ht="14.25" hidden="false" customHeight="true" outlineLevel="0" collapsed="false">
      <c r="A895" s="7"/>
    </row>
    <row r="896" customFormat="false" ht="14.25" hidden="false" customHeight="true" outlineLevel="0" collapsed="false">
      <c r="A896" s="7"/>
    </row>
    <row r="897" customFormat="false" ht="14.25" hidden="false" customHeight="true" outlineLevel="0" collapsed="false">
      <c r="A897" s="7"/>
    </row>
    <row r="898" customFormat="false" ht="14.25" hidden="false" customHeight="true" outlineLevel="0" collapsed="false">
      <c r="A898" s="7"/>
    </row>
    <row r="899" customFormat="false" ht="14.25" hidden="false" customHeight="true" outlineLevel="0" collapsed="false">
      <c r="A899" s="7"/>
    </row>
    <row r="900" customFormat="false" ht="14.25" hidden="false" customHeight="true" outlineLevel="0" collapsed="false">
      <c r="A900" s="7"/>
    </row>
    <row r="901" customFormat="false" ht="14.25" hidden="false" customHeight="true" outlineLevel="0" collapsed="false">
      <c r="A901" s="7"/>
    </row>
    <row r="902" customFormat="false" ht="14.25" hidden="false" customHeight="true" outlineLevel="0" collapsed="false">
      <c r="A902" s="7"/>
    </row>
    <row r="903" customFormat="false" ht="14.25" hidden="false" customHeight="true" outlineLevel="0" collapsed="false">
      <c r="A903" s="7"/>
    </row>
    <row r="904" customFormat="false" ht="14.25" hidden="false" customHeight="true" outlineLevel="0" collapsed="false">
      <c r="A904" s="7"/>
    </row>
    <row r="905" customFormat="false" ht="14.25" hidden="false" customHeight="true" outlineLevel="0" collapsed="false">
      <c r="A905" s="7"/>
    </row>
    <row r="906" customFormat="false" ht="14.25" hidden="false" customHeight="true" outlineLevel="0" collapsed="false">
      <c r="A906" s="7"/>
    </row>
    <row r="907" customFormat="false" ht="14.25" hidden="false" customHeight="true" outlineLevel="0" collapsed="false">
      <c r="A907" s="7"/>
    </row>
    <row r="908" customFormat="false" ht="14.25" hidden="false" customHeight="true" outlineLevel="0" collapsed="false">
      <c r="A908" s="7"/>
    </row>
    <row r="909" customFormat="false" ht="14.25" hidden="false" customHeight="true" outlineLevel="0" collapsed="false">
      <c r="A909" s="7"/>
    </row>
    <row r="910" customFormat="false" ht="14.25" hidden="false" customHeight="true" outlineLevel="0" collapsed="false">
      <c r="A910" s="7"/>
    </row>
    <row r="911" customFormat="false" ht="14.25" hidden="false" customHeight="true" outlineLevel="0" collapsed="false">
      <c r="A911" s="7"/>
    </row>
    <row r="912" customFormat="false" ht="14.25" hidden="false" customHeight="true" outlineLevel="0" collapsed="false">
      <c r="A912" s="7"/>
    </row>
    <row r="913" customFormat="false" ht="14.25" hidden="false" customHeight="true" outlineLevel="0" collapsed="false">
      <c r="A913" s="7"/>
    </row>
    <row r="914" customFormat="false" ht="14.25" hidden="false" customHeight="true" outlineLevel="0" collapsed="false">
      <c r="A914" s="7"/>
    </row>
    <row r="915" customFormat="false" ht="14.25" hidden="false" customHeight="true" outlineLevel="0" collapsed="false">
      <c r="A915" s="7"/>
    </row>
    <row r="916" customFormat="false" ht="14.25" hidden="false" customHeight="true" outlineLevel="0" collapsed="false">
      <c r="A916" s="7"/>
    </row>
    <row r="917" customFormat="false" ht="14.25" hidden="false" customHeight="true" outlineLevel="0" collapsed="false">
      <c r="A917" s="7"/>
    </row>
    <row r="918" customFormat="false" ht="14.25" hidden="false" customHeight="true" outlineLevel="0" collapsed="false">
      <c r="A918" s="7"/>
    </row>
    <row r="919" customFormat="false" ht="14.25" hidden="false" customHeight="true" outlineLevel="0" collapsed="false">
      <c r="A919" s="7"/>
    </row>
    <row r="920" customFormat="false" ht="14.25" hidden="false" customHeight="true" outlineLevel="0" collapsed="false">
      <c r="A920" s="7"/>
    </row>
    <row r="921" customFormat="false" ht="14.25" hidden="false" customHeight="true" outlineLevel="0" collapsed="false">
      <c r="A921" s="7"/>
    </row>
    <row r="922" customFormat="false" ht="14.25" hidden="false" customHeight="true" outlineLevel="0" collapsed="false">
      <c r="A922" s="7"/>
    </row>
    <row r="923" customFormat="false" ht="14.25" hidden="false" customHeight="true" outlineLevel="0" collapsed="false">
      <c r="A923" s="7"/>
    </row>
    <row r="924" customFormat="false" ht="14.25" hidden="false" customHeight="true" outlineLevel="0" collapsed="false">
      <c r="A924" s="7"/>
    </row>
    <row r="925" customFormat="false" ht="14.25" hidden="false" customHeight="true" outlineLevel="0" collapsed="false">
      <c r="A925" s="7"/>
    </row>
    <row r="926" customFormat="false" ht="14.25" hidden="false" customHeight="true" outlineLevel="0" collapsed="false">
      <c r="A926" s="7"/>
    </row>
    <row r="927" customFormat="false" ht="14.25" hidden="false" customHeight="true" outlineLevel="0" collapsed="false">
      <c r="A927" s="7"/>
    </row>
    <row r="928" customFormat="false" ht="14.25" hidden="false" customHeight="true" outlineLevel="0" collapsed="false">
      <c r="A928" s="7"/>
    </row>
    <row r="929" customFormat="false" ht="14.25" hidden="false" customHeight="true" outlineLevel="0" collapsed="false">
      <c r="A929" s="7"/>
    </row>
    <row r="930" customFormat="false" ht="14.25" hidden="false" customHeight="true" outlineLevel="0" collapsed="false">
      <c r="A930" s="7"/>
    </row>
    <row r="931" customFormat="false" ht="14.25" hidden="false" customHeight="true" outlineLevel="0" collapsed="false">
      <c r="A931" s="7"/>
    </row>
    <row r="932" customFormat="false" ht="14.25" hidden="false" customHeight="true" outlineLevel="0" collapsed="false">
      <c r="A932" s="7"/>
    </row>
    <row r="933" customFormat="false" ht="14.25" hidden="false" customHeight="true" outlineLevel="0" collapsed="false">
      <c r="A933" s="7"/>
    </row>
    <row r="934" customFormat="false" ht="14.25" hidden="false" customHeight="true" outlineLevel="0" collapsed="false">
      <c r="A934" s="7"/>
    </row>
    <row r="935" customFormat="false" ht="14.25" hidden="false" customHeight="true" outlineLevel="0" collapsed="false">
      <c r="A935" s="7"/>
    </row>
    <row r="936" customFormat="false" ht="14.25" hidden="false" customHeight="true" outlineLevel="0" collapsed="false">
      <c r="A936" s="7"/>
    </row>
    <row r="937" customFormat="false" ht="14.25" hidden="false" customHeight="true" outlineLevel="0" collapsed="false">
      <c r="A937" s="7"/>
    </row>
    <row r="938" customFormat="false" ht="14.25" hidden="false" customHeight="true" outlineLevel="0" collapsed="false">
      <c r="A938" s="7"/>
    </row>
    <row r="939" customFormat="false" ht="14.25" hidden="false" customHeight="true" outlineLevel="0" collapsed="false">
      <c r="A939" s="7"/>
    </row>
    <row r="940" customFormat="false" ht="14.25" hidden="false" customHeight="true" outlineLevel="0" collapsed="false">
      <c r="A940" s="7"/>
    </row>
    <row r="941" customFormat="false" ht="14.25" hidden="false" customHeight="true" outlineLevel="0" collapsed="false">
      <c r="A941" s="7"/>
    </row>
    <row r="942" customFormat="false" ht="14.25" hidden="false" customHeight="true" outlineLevel="0" collapsed="false">
      <c r="A942" s="7"/>
    </row>
    <row r="943" customFormat="false" ht="14.25" hidden="false" customHeight="true" outlineLevel="0" collapsed="false">
      <c r="A943" s="7"/>
    </row>
    <row r="944" customFormat="false" ht="14.25" hidden="false" customHeight="true" outlineLevel="0" collapsed="false">
      <c r="A944" s="7"/>
    </row>
    <row r="945" customFormat="false" ht="14.25" hidden="false" customHeight="true" outlineLevel="0" collapsed="false">
      <c r="A945" s="7"/>
    </row>
    <row r="946" customFormat="false" ht="14.25" hidden="false" customHeight="true" outlineLevel="0" collapsed="false">
      <c r="A946" s="7"/>
    </row>
    <row r="947" customFormat="false" ht="14.25" hidden="false" customHeight="true" outlineLevel="0" collapsed="false">
      <c r="A947" s="7"/>
    </row>
    <row r="948" customFormat="false" ht="14.25" hidden="false" customHeight="true" outlineLevel="0" collapsed="false">
      <c r="A948" s="7"/>
    </row>
    <row r="949" customFormat="false" ht="14.25" hidden="false" customHeight="true" outlineLevel="0" collapsed="false">
      <c r="A949" s="7"/>
    </row>
    <row r="950" customFormat="false" ht="14.25" hidden="false" customHeight="true" outlineLevel="0" collapsed="false">
      <c r="A950" s="7"/>
    </row>
    <row r="951" customFormat="false" ht="14.25" hidden="false" customHeight="true" outlineLevel="0" collapsed="false">
      <c r="A951" s="7"/>
    </row>
    <row r="952" customFormat="false" ht="14.25" hidden="false" customHeight="true" outlineLevel="0" collapsed="false">
      <c r="A952" s="7"/>
    </row>
    <row r="953" customFormat="false" ht="14.25" hidden="false" customHeight="true" outlineLevel="0" collapsed="false">
      <c r="A953" s="7"/>
    </row>
    <row r="954" customFormat="false" ht="14.25" hidden="false" customHeight="true" outlineLevel="0" collapsed="false">
      <c r="A954" s="7"/>
    </row>
    <row r="955" customFormat="false" ht="14.25" hidden="false" customHeight="true" outlineLevel="0" collapsed="false">
      <c r="A955" s="7"/>
    </row>
    <row r="956" customFormat="false" ht="14.25" hidden="false" customHeight="true" outlineLevel="0" collapsed="false">
      <c r="A956" s="7"/>
    </row>
    <row r="957" customFormat="false" ht="14.25" hidden="false" customHeight="true" outlineLevel="0" collapsed="false">
      <c r="A957" s="7"/>
    </row>
    <row r="958" customFormat="false" ht="14.25" hidden="false" customHeight="true" outlineLevel="0" collapsed="false">
      <c r="A958" s="7"/>
    </row>
    <row r="959" customFormat="false" ht="14.25" hidden="false" customHeight="true" outlineLevel="0" collapsed="false">
      <c r="A959" s="7"/>
    </row>
    <row r="960" customFormat="false" ht="14.25" hidden="false" customHeight="true" outlineLevel="0" collapsed="false">
      <c r="A960" s="7"/>
    </row>
    <row r="961" customFormat="false" ht="14.25" hidden="false" customHeight="true" outlineLevel="0" collapsed="false">
      <c r="A961" s="7"/>
    </row>
    <row r="962" customFormat="false" ht="14.25" hidden="false" customHeight="true" outlineLevel="0" collapsed="false">
      <c r="A962" s="7"/>
    </row>
    <row r="963" customFormat="false" ht="14.25" hidden="false" customHeight="true" outlineLevel="0" collapsed="false">
      <c r="A963" s="7"/>
    </row>
    <row r="964" customFormat="false" ht="14.25" hidden="false" customHeight="true" outlineLevel="0" collapsed="false">
      <c r="A964" s="7"/>
    </row>
    <row r="965" customFormat="false" ht="14.25" hidden="false" customHeight="true" outlineLevel="0" collapsed="false">
      <c r="A965" s="7"/>
    </row>
    <row r="966" customFormat="false" ht="14.25" hidden="false" customHeight="true" outlineLevel="0" collapsed="false">
      <c r="A966" s="7"/>
    </row>
    <row r="967" customFormat="false" ht="14.25" hidden="false" customHeight="true" outlineLevel="0" collapsed="false">
      <c r="A967" s="7"/>
    </row>
    <row r="968" customFormat="false" ht="14.25" hidden="false" customHeight="true" outlineLevel="0" collapsed="false">
      <c r="A968" s="7"/>
    </row>
    <row r="969" customFormat="false" ht="14.25" hidden="false" customHeight="true" outlineLevel="0" collapsed="false">
      <c r="A969" s="7"/>
    </row>
    <row r="970" customFormat="false" ht="14.25" hidden="false" customHeight="true" outlineLevel="0" collapsed="false">
      <c r="A970" s="7"/>
    </row>
    <row r="971" customFormat="false" ht="14.25" hidden="false" customHeight="true" outlineLevel="0" collapsed="false">
      <c r="A971" s="7"/>
    </row>
    <row r="972" customFormat="false" ht="14.25" hidden="false" customHeight="true" outlineLevel="0" collapsed="false">
      <c r="A972" s="7"/>
    </row>
    <row r="973" customFormat="false" ht="14.25" hidden="false" customHeight="true" outlineLevel="0" collapsed="false">
      <c r="A973" s="7"/>
    </row>
    <row r="974" customFormat="false" ht="14.25" hidden="false" customHeight="true" outlineLevel="0" collapsed="false">
      <c r="A974" s="7"/>
    </row>
    <row r="975" customFormat="false" ht="14.25" hidden="false" customHeight="true" outlineLevel="0" collapsed="false">
      <c r="A975" s="7"/>
    </row>
    <row r="976" customFormat="false" ht="14.25" hidden="false" customHeight="true" outlineLevel="0" collapsed="false">
      <c r="A976" s="7"/>
    </row>
    <row r="977" customFormat="false" ht="14.25" hidden="false" customHeight="true" outlineLevel="0" collapsed="false">
      <c r="A977" s="7"/>
    </row>
    <row r="978" customFormat="false" ht="14.25" hidden="false" customHeight="true" outlineLevel="0" collapsed="false">
      <c r="A978" s="7"/>
    </row>
    <row r="979" customFormat="false" ht="14.25" hidden="false" customHeight="true" outlineLevel="0" collapsed="false">
      <c r="A979" s="7"/>
    </row>
    <row r="980" customFormat="false" ht="14.25" hidden="false" customHeight="true" outlineLevel="0" collapsed="false">
      <c r="A980" s="7"/>
    </row>
    <row r="981" customFormat="false" ht="14.25" hidden="false" customHeight="true" outlineLevel="0" collapsed="false">
      <c r="A981" s="7"/>
    </row>
    <row r="982" customFormat="false" ht="14.25" hidden="false" customHeight="true" outlineLevel="0" collapsed="false">
      <c r="A982" s="7"/>
    </row>
    <row r="983" customFormat="false" ht="14.25" hidden="false" customHeight="true" outlineLevel="0" collapsed="false">
      <c r="A983" s="7"/>
    </row>
    <row r="984" customFormat="false" ht="14.25" hidden="false" customHeight="true" outlineLevel="0" collapsed="false">
      <c r="A984" s="7"/>
    </row>
    <row r="985" customFormat="false" ht="14.25" hidden="false" customHeight="true" outlineLevel="0" collapsed="false">
      <c r="A985" s="7"/>
    </row>
    <row r="986" customFormat="false" ht="14.25" hidden="false" customHeight="true" outlineLevel="0" collapsed="false">
      <c r="A986" s="7"/>
    </row>
    <row r="987" customFormat="false" ht="14.25" hidden="false" customHeight="true" outlineLevel="0" collapsed="false">
      <c r="A987" s="7"/>
    </row>
    <row r="988" customFormat="false" ht="14.25" hidden="false" customHeight="true" outlineLevel="0" collapsed="false">
      <c r="A988" s="7"/>
    </row>
    <row r="989" customFormat="false" ht="14.25" hidden="false" customHeight="true" outlineLevel="0" collapsed="false">
      <c r="A989" s="7"/>
    </row>
    <row r="990" customFormat="false" ht="14.25" hidden="false" customHeight="true" outlineLevel="0" collapsed="false">
      <c r="A990" s="7"/>
    </row>
    <row r="991" customFormat="false" ht="14.25" hidden="false" customHeight="true" outlineLevel="0" collapsed="false">
      <c r="A991" s="7"/>
    </row>
    <row r="992" customFormat="false" ht="14.25" hidden="false" customHeight="true" outlineLevel="0" collapsed="false">
      <c r="A992" s="7"/>
    </row>
    <row r="993" customFormat="false" ht="14.25" hidden="false" customHeight="true" outlineLevel="0" collapsed="false">
      <c r="A993" s="7"/>
    </row>
    <row r="994" customFormat="false" ht="14.25" hidden="false" customHeight="true" outlineLevel="0" collapsed="false">
      <c r="A994" s="7"/>
    </row>
    <row r="995" customFormat="false" ht="14.25" hidden="false" customHeight="true" outlineLevel="0" collapsed="false">
      <c r="A995" s="7"/>
    </row>
    <row r="996" customFormat="false" ht="14.25" hidden="false" customHeight="true" outlineLevel="0" collapsed="false">
      <c r="A996" s="7"/>
    </row>
    <row r="997" customFormat="false" ht="14.25" hidden="false" customHeight="true" outlineLevel="0" collapsed="false">
      <c r="A997" s="7"/>
    </row>
    <row r="998" customFormat="false" ht="14.25" hidden="false" customHeight="true" outlineLevel="0" collapsed="false">
      <c r="A998" s="7"/>
    </row>
    <row r="999" customFormat="false" ht="14.25" hidden="false" customHeight="true" outlineLevel="0" collapsed="false">
      <c r="A999" s="7"/>
    </row>
    <row r="1000" customFormat="false" ht="14.25" hidden="false" customHeight="true" outlineLevel="0" collapsed="false">
      <c r="A1000" s="7"/>
    </row>
  </sheetData>
  <autoFilter ref="A1:B1">
    <sortState ref="A2:B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9" activeCellId="0" sqref="F9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5.11"/>
    <col collapsed="false" customWidth="true" hidden="false" outlineLevel="0" max="2" min="2" style="1" width="15.88"/>
    <col collapsed="false" customWidth="true" hidden="false" outlineLevel="0" max="4" min="4" style="1" width="55.33"/>
    <col collapsed="false" customWidth="true" hidden="false" outlineLevel="0" max="5" min="5" style="1" width="11.33"/>
    <col collapsed="false" customWidth="true" hidden="false" outlineLevel="0" max="6" min="6" style="1" width="15.33"/>
    <col collapsed="false" customWidth="true" hidden="false" outlineLevel="0" max="26" min="7" style="1" width="10.66"/>
  </cols>
  <sheetData>
    <row r="1" customFormat="false" ht="14.25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19" t="s">
        <v>669</v>
      </c>
      <c r="G1" s="7" t="s">
        <v>670</v>
      </c>
      <c r="H1" s="2" t="s">
        <v>671</v>
      </c>
      <c r="I1" s="2" t="s">
        <v>672</v>
      </c>
    </row>
    <row r="2" customFormat="false" ht="14.25" hidden="false" customHeight="true" outlineLevel="0" collapsed="false">
      <c r="A2" s="7" t="str">
        <f aca="false">I2</f>
        <v>Date of notification</v>
      </c>
      <c r="B2" s="7" t="s">
        <v>6</v>
      </c>
      <c r="C2" s="7"/>
      <c r="D2" s="7"/>
      <c r="E2" s="7"/>
      <c r="F2" s="7"/>
      <c r="H2" s="7" t="s">
        <v>5</v>
      </c>
      <c r="I2" s="7" t="s">
        <v>5</v>
      </c>
    </row>
    <row r="3" customFormat="false" ht="14.25" hidden="false" customHeight="true" outlineLevel="0" collapsed="false">
      <c r="A3" s="7" t="str">
        <f aca="false">I3</f>
        <v>Organisation unit name</v>
      </c>
      <c r="B3" s="7" t="s">
        <v>8</v>
      </c>
      <c r="C3" s="7"/>
      <c r="D3" s="7"/>
      <c r="E3" s="7"/>
      <c r="F3" s="7"/>
      <c r="H3" s="7" t="s">
        <v>7</v>
      </c>
      <c r="I3" s="7" t="s">
        <v>7</v>
      </c>
    </row>
    <row r="4" customFormat="false" ht="14.25" hidden="false" customHeight="true" outlineLevel="0" collapsed="false">
      <c r="A4" s="7" t="str">
        <f aca="false">I4</f>
        <v>Diagnostic Initial</v>
      </c>
      <c r="B4" s="7" t="s">
        <v>10</v>
      </c>
      <c r="C4" s="7"/>
      <c r="D4" s="7"/>
      <c r="E4" s="7"/>
      <c r="F4" s="7" t="s">
        <v>673</v>
      </c>
      <c r="H4" s="7" t="s">
        <v>9</v>
      </c>
      <c r="I4" s="7" t="s">
        <v>9</v>
      </c>
    </row>
    <row r="5" customFormat="false" ht="14.25" hidden="false" customHeight="true" outlineLevel="0" collapsed="false">
      <c r="A5" s="7" t="str">
        <f aca="false">I5</f>
        <v>Numero Epid</v>
      </c>
      <c r="B5" s="7" t="s">
        <v>12</v>
      </c>
      <c r="C5" s="7"/>
      <c r="D5" s="7"/>
      <c r="E5" s="7"/>
      <c r="F5" s="7"/>
      <c r="H5" s="7" t="s">
        <v>11</v>
      </c>
      <c r="I5" s="7" t="s">
        <v>11</v>
      </c>
    </row>
    <row r="6" customFormat="false" ht="14.25" hidden="false" customHeight="true" outlineLevel="0" collapsed="false">
      <c r="A6" s="7" t="str">
        <f aca="false">I6</f>
        <v>Nom</v>
      </c>
      <c r="B6" s="7" t="s">
        <v>14</v>
      </c>
      <c r="C6" s="7"/>
      <c r="D6" s="7"/>
      <c r="E6" s="7"/>
      <c r="F6" s="7"/>
      <c r="H6" s="7" t="s">
        <v>13</v>
      </c>
      <c r="I6" s="7" t="s">
        <v>13</v>
      </c>
    </row>
    <row r="7" customFormat="false" ht="14.25" hidden="false" customHeight="true" outlineLevel="0" collapsed="false">
      <c r="A7" s="7" t="str">
        <f aca="false">I7</f>
        <v>Prénom</v>
      </c>
      <c r="B7" s="7" t="s">
        <v>16</v>
      </c>
      <c r="C7" s="7"/>
      <c r="D7" s="7"/>
      <c r="E7" s="7"/>
      <c r="F7" s="7"/>
      <c r="H7" s="7" t="s">
        <v>15</v>
      </c>
      <c r="I7" s="7" t="s">
        <v>15</v>
      </c>
    </row>
    <row r="8" customFormat="false" ht="14.25" hidden="false" customHeight="true" outlineLevel="0" collapsed="false">
      <c r="A8" s="7" t="str">
        <f aca="false">I8</f>
        <v>Date de naissance</v>
      </c>
      <c r="B8" s="7" t="s">
        <v>18</v>
      </c>
      <c r="C8" s="7"/>
      <c r="D8" s="7"/>
      <c r="E8" s="7"/>
      <c r="F8" s="7"/>
      <c r="H8" s="7" t="s">
        <v>17</v>
      </c>
      <c r="I8" s="7" t="s">
        <v>17</v>
      </c>
    </row>
    <row r="9" customFormat="false" ht="14.25" hidden="false" customHeight="true" outlineLevel="0" collapsed="false">
      <c r="A9" s="7" t="str">
        <f aca="false">I9</f>
        <v>Sexe à la naissance</v>
      </c>
      <c r="B9" s="7" t="s">
        <v>20</v>
      </c>
      <c r="C9" s="7"/>
      <c r="D9" s="7"/>
      <c r="E9" s="7"/>
      <c r="F9" s="7" t="s">
        <v>674</v>
      </c>
      <c r="H9" s="7" t="s">
        <v>19</v>
      </c>
      <c r="I9" s="7" t="s">
        <v>19</v>
      </c>
    </row>
    <row r="10" customFormat="false" ht="14.25" hidden="false" customHeight="true" outlineLevel="0" collapsed="false">
      <c r="A10" s="7" t="str">
        <f aca="false">I10</f>
        <v>Adresse du domicile</v>
      </c>
      <c r="B10" s="7" t="s">
        <v>22</v>
      </c>
      <c r="C10" s="7"/>
      <c r="D10" s="7"/>
      <c r="E10" s="7"/>
      <c r="F10" s="7"/>
      <c r="H10" s="7" t="s">
        <v>21</v>
      </c>
      <c r="I10" s="7" t="s">
        <v>21</v>
      </c>
    </row>
    <row r="11" customFormat="false" ht="14.25" hidden="false" customHeight="true" outlineLevel="0" collapsed="false">
      <c r="A11" s="7" t="str">
        <f aca="false">I11</f>
        <v>Numéro de téléphone du cas</v>
      </c>
      <c r="B11" s="7" t="s">
        <v>24</v>
      </c>
      <c r="C11" s="7"/>
      <c r="D11" s="7"/>
      <c r="E11" s="7"/>
      <c r="F11" s="7"/>
      <c r="H11" s="7" t="s">
        <v>23</v>
      </c>
      <c r="I11" s="7" t="s">
        <v>23</v>
      </c>
    </row>
    <row r="12" customFormat="false" ht="14.25" hidden="false" customHeight="true" outlineLevel="0" collapsed="false">
      <c r="A12" s="7" t="str">
        <f aca="false">I12</f>
        <v>Date d'apparition des symptômes</v>
      </c>
      <c r="B12" s="7" t="s">
        <v>26</v>
      </c>
      <c r="C12" s="7" t="s">
        <v>27</v>
      </c>
      <c r="D12" s="7"/>
      <c r="E12" s="7"/>
      <c r="F12" s="7"/>
      <c r="H12" s="7" t="s">
        <v>675</v>
      </c>
      <c r="I12" s="7" t="s">
        <v>25</v>
      </c>
    </row>
    <row r="13" customFormat="false" ht="14.25" hidden="false" customHeight="true" outlineLevel="0" collapsed="false">
      <c r="A13" s="7" t="str">
        <f aca="false">I13</f>
        <v>Date vue dans un centre santé</v>
      </c>
      <c r="B13" s="7" t="s">
        <v>495</v>
      </c>
      <c r="C13" s="7" t="s">
        <v>27</v>
      </c>
      <c r="D13" s="7"/>
      <c r="E13" s="7"/>
      <c r="F13" s="7"/>
      <c r="H13" s="7" t="s">
        <v>676</v>
      </c>
      <c r="I13" s="7" t="s">
        <v>496</v>
      </c>
    </row>
    <row r="14" customFormat="false" ht="14.25" hidden="false" customHeight="true" outlineLevel="0" collapsed="false">
      <c r="A14" s="7" t="str">
        <f aca="false">I14</f>
        <v>Patients hospitalisés/non hospitalisés</v>
      </c>
      <c r="B14" s="7" t="s">
        <v>613</v>
      </c>
      <c r="C14" s="7" t="s">
        <v>27</v>
      </c>
      <c r="D14" s="7"/>
      <c r="E14" s="7"/>
      <c r="F14" s="7" t="s">
        <v>677</v>
      </c>
      <c r="H14" s="7" t="s">
        <v>678</v>
      </c>
      <c r="I14" s="7" t="s">
        <v>614</v>
      </c>
    </row>
    <row r="15" customFormat="false" ht="14.25" hidden="false" customHeight="true" outlineLevel="0" collapsed="false">
      <c r="A15" s="7" t="str">
        <f aca="false">I15</f>
        <v>Echantillon prélevé (O/N)</v>
      </c>
      <c r="B15" s="7" t="s">
        <v>599</v>
      </c>
      <c r="C15" s="7" t="s">
        <v>27</v>
      </c>
      <c r="D15" s="7"/>
      <c r="E15" s="7"/>
      <c r="F15" s="7" t="s">
        <v>679</v>
      </c>
      <c r="H15" s="7" t="s">
        <v>680</v>
      </c>
      <c r="I15" s="7" t="s">
        <v>600</v>
      </c>
    </row>
    <row r="16" customFormat="false" ht="14.25" hidden="false" customHeight="true" outlineLevel="0" collapsed="false">
      <c r="A16" s="7" t="str">
        <f aca="false">I16</f>
        <v>Vaccin reçu : MenAfriVac</v>
      </c>
      <c r="B16" s="7" t="s">
        <v>601</v>
      </c>
      <c r="C16" s="7" t="s">
        <v>27</v>
      </c>
      <c r="D16" s="7"/>
      <c r="E16" s="7"/>
      <c r="F16" s="7" t="s">
        <v>681</v>
      </c>
      <c r="H16" s="7" t="s">
        <v>682</v>
      </c>
      <c r="I16" s="7" t="s">
        <v>602</v>
      </c>
    </row>
    <row r="17" customFormat="false" ht="14.25" hidden="false" customHeight="true" outlineLevel="0" collapsed="false">
      <c r="A17" s="7" t="str">
        <f aca="false">I17</f>
        <v>Date de la vaccination : MenAfriVac</v>
      </c>
      <c r="B17" s="7" t="s">
        <v>539</v>
      </c>
      <c r="C17" s="7" t="s">
        <v>27</v>
      </c>
      <c r="D17" s="7"/>
      <c r="E17" s="7"/>
      <c r="F17" s="7"/>
      <c r="H17" s="7" t="s">
        <v>683</v>
      </c>
      <c r="I17" s="7" t="s">
        <v>540</v>
      </c>
    </row>
    <row r="18" customFormat="false" ht="14.25" hidden="false" customHeight="true" outlineLevel="0" collapsed="false">
      <c r="A18" s="7" t="str">
        <f aca="false">I18</f>
        <v>Vaccin reçu : Vaccin méningococcique polyvalent</v>
      </c>
      <c r="B18" s="7" t="s">
        <v>557</v>
      </c>
      <c r="C18" s="7" t="s">
        <v>27</v>
      </c>
      <c r="D18" s="7"/>
      <c r="E18" s="7"/>
      <c r="F18" s="7" t="s">
        <v>681</v>
      </c>
      <c r="H18" s="7" t="s">
        <v>684</v>
      </c>
      <c r="I18" s="7" t="s">
        <v>558</v>
      </c>
    </row>
    <row r="19" customFormat="false" ht="14.25" hidden="false" customHeight="true" outlineLevel="0" collapsed="false">
      <c r="A19" s="7" t="str">
        <f aca="false">I19</f>
        <v>Date de la vaccination : Vaccin méningococcique polyvalent</v>
      </c>
      <c r="B19" s="7" t="s">
        <v>641</v>
      </c>
      <c r="C19" s="7" t="s">
        <v>27</v>
      </c>
      <c r="D19" s="7"/>
      <c r="E19" s="7"/>
      <c r="F19" s="7"/>
      <c r="H19" s="7" t="s">
        <v>685</v>
      </c>
      <c r="I19" s="7" t="s">
        <v>642</v>
      </c>
    </row>
    <row r="20" customFormat="false" ht="14.25" hidden="false" customHeight="true" outlineLevel="0" collapsed="false">
      <c r="A20" s="7" t="str">
        <f aca="false">I20</f>
        <v>Vaccin reçu : Hib</v>
      </c>
      <c r="B20" s="7" t="s">
        <v>665</v>
      </c>
      <c r="C20" s="7" t="s">
        <v>27</v>
      </c>
      <c r="D20" s="7"/>
      <c r="E20" s="7"/>
      <c r="F20" s="7" t="s">
        <v>681</v>
      </c>
      <c r="H20" s="7" t="s">
        <v>686</v>
      </c>
      <c r="I20" s="7" t="s">
        <v>666</v>
      </c>
    </row>
    <row r="21" customFormat="false" ht="14.25" hidden="false" customHeight="true" outlineLevel="0" collapsed="false">
      <c r="A21" s="7" t="str">
        <f aca="false">I21</f>
        <v>N doses reçues : Hib</v>
      </c>
      <c r="B21" s="7" t="s">
        <v>611</v>
      </c>
      <c r="C21" s="7" t="s">
        <v>27</v>
      </c>
      <c r="D21" s="7"/>
      <c r="E21" s="7"/>
      <c r="F21" s="7"/>
      <c r="H21" s="7" t="s">
        <v>687</v>
      </c>
      <c r="I21" s="7" t="s">
        <v>612</v>
      </c>
    </row>
    <row r="22" customFormat="false" ht="14.25" hidden="false" customHeight="true" outlineLevel="0" collapsed="false">
      <c r="A22" s="7" t="str">
        <f aca="false">I22</f>
        <v>Date de la vaccination : Hib</v>
      </c>
      <c r="B22" s="7" t="s">
        <v>555</v>
      </c>
      <c r="C22" s="7" t="s">
        <v>27</v>
      </c>
      <c r="D22" s="7"/>
      <c r="E22" s="7"/>
      <c r="F22" s="7"/>
      <c r="H22" s="7" t="s">
        <v>688</v>
      </c>
      <c r="I22" s="7" t="s">
        <v>556</v>
      </c>
    </row>
    <row r="23" customFormat="false" ht="14.25" hidden="false" customHeight="true" outlineLevel="0" collapsed="false">
      <c r="A23" s="7" t="str">
        <f aca="false">I23</f>
        <v>Vaccin reçu : PCV</v>
      </c>
      <c r="B23" s="7" t="s">
        <v>625</v>
      </c>
      <c r="C23" s="7" t="s">
        <v>27</v>
      </c>
      <c r="D23" s="7"/>
      <c r="E23" s="7"/>
      <c r="F23" s="7" t="s">
        <v>681</v>
      </c>
      <c r="H23" s="7" t="s">
        <v>689</v>
      </c>
      <c r="I23" s="7" t="s">
        <v>626</v>
      </c>
    </row>
    <row r="24" customFormat="false" ht="14.25" hidden="false" customHeight="true" outlineLevel="0" collapsed="false">
      <c r="A24" s="7" t="str">
        <f aca="false">I24</f>
        <v>N doses reçues : PCV</v>
      </c>
      <c r="B24" s="7" t="s">
        <v>593</v>
      </c>
      <c r="C24" s="7" t="s">
        <v>27</v>
      </c>
      <c r="D24" s="7"/>
      <c r="E24" s="7"/>
      <c r="F24" s="7"/>
      <c r="H24" s="7" t="s">
        <v>690</v>
      </c>
      <c r="I24" s="7" t="s">
        <v>594</v>
      </c>
    </row>
    <row r="25" customFormat="false" ht="14.25" hidden="false" customHeight="true" outlineLevel="0" collapsed="false">
      <c r="A25" s="7" t="str">
        <f aca="false">I25</f>
        <v>Date de la vaccination : PCV</v>
      </c>
      <c r="B25" s="7" t="s">
        <v>621</v>
      </c>
      <c r="C25" s="7" t="s">
        <v>27</v>
      </c>
      <c r="D25" s="7"/>
      <c r="E25" s="7"/>
      <c r="F25" s="7"/>
      <c r="H25" s="7" t="s">
        <v>691</v>
      </c>
      <c r="I25" s="7" t="s">
        <v>622</v>
      </c>
    </row>
    <row r="26" customFormat="false" ht="14.25" hidden="false" customHeight="true" outlineLevel="0" collapsed="false">
      <c r="A26" s="7" t="str">
        <f aca="false">I26</f>
        <v>Altération de la conscience</v>
      </c>
      <c r="B26" s="7" t="s">
        <v>549</v>
      </c>
      <c r="C26" s="7" t="s">
        <v>27</v>
      </c>
      <c r="D26" s="7"/>
      <c r="E26" s="7"/>
      <c r="F26" s="7" t="s">
        <v>679</v>
      </c>
      <c r="H26" s="7" t="s">
        <v>692</v>
      </c>
      <c r="I26" s="7" t="s">
        <v>550</v>
      </c>
    </row>
    <row r="27" customFormat="false" ht="14.25" hidden="false" customHeight="true" outlineLevel="0" collapsed="false">
      <c r="A27" s="7" t="str">
        <f aca="false">I27</f>
        <v>Raideur du cou</v>
      </c>
      <c r="B27" s="7" t="s">
        <v>583</v>
      </c>
      <c r="C27" s="7" t="s">
        <v>27</v>
      </c>
      <c r="D27" s="7"/>
      <c r="E27" s="7"/>
      <c r="F27" s="7" t="s">
        <v>679</v>
      </c>
      <c r="H27" s="7" t="s">
        <v>693</v>
      </c>
      <c r="I27" s="7" t="s">
        <v>584</v>
      </c>
    </row>
    <row r="28" customFormat="false" ht="14.25" hidden="false" customHeight="true" outlineLevel="0" collapsed="false">
      <c r="A28" s="7" t="str">
        <f aca="false">I28</f>
        <v>Fontanelle bombée</v>
      </c>
      <c r="B28" s="7" t="s">
        <v>663</v>
      </c>
      <c r="C28" s="7" t="s">
        <v>27</v>
      </c>
      <c r="D28" s="7"/>
      <c r="E28" s="7"/>
      <c r="F28" s="7" t="s">
        <v>679</v>
      </c>
      <c r="H28" s="7" t="s">
        <v>694</v>
      </c>
      <c r="I28" s="7" t="s">
        <v>664</v>
      </c>
    </row>
    <row r="29" customFormat="false" ht="14.25" hidden="false" customHeight="true" outlineLevel="0" collapsed="false">
      <c r="A29" s="7" t="str">
        <f aca="false">I29</f>
        <v>Fièvre</v>
      </c>
      <c r="B29" s="7" t="s">
        <v>623</v>
      </c>
      <c r="C29" s="7" t="s">
        <v>27</v>
      </c>
      <c r="D29" s="7"/>
      <c r="E29" s="7"/>
      <c r="F29" s="7" t="s">
        <v>679</v>
      </c>
      <c r="H29" s="7" t="s">
        <v>695</v>
      </c>
      <c r="I29" s="7" t="s">
        <v>624</v>
      </c>
    </row>
    <row r="30" customFormat="false" ht="14.25" hidden="false" customHeight="true" outlineLevel="0" collapsed="false">
      <c r="A30" s="7" t="str">
        <f aca="false">I30</f>
        <v>Maux de tête</v>
      </c>
      <c r="B30" s="7" t="s">
        <v>661</v>
      </c>
      <c r="C30" s="7" t="s">
        <v>27</v>
      </c>
      <c r="D30" s="7"/>
      <c r="E30" s="7"/>
      <c r="F30" s="7" t="s">
        <v>679</v>
      </c>
      <c r="H30" s="7" t="s">
        <v>696</v>
      </c>
      <c r="I30" s="7" t="s">
        <v>662</v>
      </c>
    </row>
    <row r="31" customFormat="false" ht="14.25" hidden="false" customHeight="true" outlineLevel="0" collapsed="false">
      <c r="A31" s="7" t="str">
        <f aca="false">I31</f>
        <v>Nausées</v>
      </c>
      <c r="B31" s="7" t="s">
        <v>607</v>
      </c>
      <c r="C31" s="7" t="s">
        <v>27</v>
      </c>
      <c r="D31" s="7"/>
      <c r="E31" s="7"/>
      <c r="F31" s="7" t="s">
        <v>679</v>
      </c>
      <c r="H31" s="7" t="s">
        <v>697</v>
      </c>
      <c r="I31" s="7" t="s">
        <v>608</v>
      </c>
    </row>
    <row r="32" customFormat="false" ht="14.25" hidden="false" customHeight="true" outlineLevel="0" collapsed="false">
      <c r="A32" s="7" t="str">
        <f aca="false">I32</f>
        <v>Photophobie</v>
      </c>
      <c r="B32" s="7" t="s">
        <v>639</v>
      </c>
      <c r="C32" s="7" t="s">
        <v>27</v>
      </c>
      <c r="D32" s="7"/>
      <c r="E32" s="7"/>
      <c r="F32" s="7" t="s">
        <v>679</v>
      </c>
      <c r="H32" s="7" t="s">
        <v>698</v>
      </c>
      <c r="I32" s="7" t="s">
        <v>640</v>
      </c>
    </row>
    <row r="33" customFormat="false" ht="14.25" hidden="false" customHeight="true" outlineLevel="0" collapsed="false">
      <c r="A33" s="7" t="str">
        <f aca="false">I33</f>
        <v>SCB - Crises/convulsions</v>
      </c>
      <c r="B33" s="7" t="s">
        <v>501</v>
      </c>
      <c r="C33" s="7" t="s">
        <v>27</v>
      </c>
      <c r="D33" s="7"/>
      <c r="E33" s="7"/>
      <c r="F33" s="7" t="s">
        <v>679</v>
      </c>
      <c r="H33" s="7" t="s">
        <v>502</v>
      </c>
      <c r="I33" s="7" t="s">
        <v>502</v>
      </c>
    </row>
    <row r="34" customFormat="false" ht="14.25" hidden="false" customHeight="true" outlineLevel="0" collapsed="false">
      <c r="A34" s="7" t="str">
        <f aca="false">I34</f>
        <v>Autres signes/symptômes, précisez</v>
      </c>
      <c r="B34" s="7" t="s">
        <v>537</v>
      </c>
      <c r="C34" s="7" t="s">
        <v>27</v>
      </c>
      <c r="D34" s="7"/>
      <c r="E34" s="7"/>
      <c r="F34" s="7"/>
      <c r="H34" s="7" t="s">
        <v>699</v>
      </c>
      <c r="I34" s="7" t="s">
        <v>538</v>
      </c>
    </row>
    <row r="35" customFormat="false" ht="14.25" hidden="false" customHeight="true" outlineLevel="0" collapsed="false">
      <c r="A35" s="7" t="str">
        <f aca="false">I35</f>
        <v>Date à laquelle le cas a été notifié au district</v>
      </c>
      <c r="B35" s="7" t="s">
        <v>667</v>
      </c>
      <c r="C35" s="7" t="s">
        <v>27</v>
      </c>
      <c r="D35" s="7"/>
      <c r="E35" s="7"/>
      <c r="F35" s="7"/>
      <c r="H35" s="7" t="s">
        <v>700</v>
      </c>
      <c r="I35" s="7" t="s">
        <v>668</v>
      </c>
    </row>
    <row r="36" customFormat="false" ht="14.25" hidden="false" customHeight="true" outlineLevel="0" collapsed="false">
      <c r="A36" s="7" t="str">
        <f aca="false">I36</f>
        <v>Nom du notificateur</v>
      </c>
      <c r="B36" s="7" t="s">
        <v>589</v>
      </c>
      <c r="C36" s="7" t="s">
        <v>27</v>
      </c>
      <c r="D36" s="7"/>
      <c r="E36" s="7"/>
      <c r="F36" s="7"/>
      <c r="H36" s="7" t="s">
        <v>701</v>
      </c>
      <c r="I36" s="7" t="s">
        <v>590</v>
      </c>
    </row>
    <row r="37" customFormat="false" ht="14.25" hidden="false" customHeight="true" outlineLevel="0" collapsed="false">
      <c r="A37" s="7" t="str">
        <f aca="false">I37</f>
        <v>Téléphone du notificateur</v>
      </c>
      <c r="B37" s="7" t="s">
        <v>591</v>
      </c>
      <c r="C37" s="7" t="s">
        <v>27</v>
      </c>
      <c r="D37" s="7"/>
      <c r="E37" s="7"/>
      <c r="F37" s="7"/>
      <c r="H37" s="7" t="s">
        <v>702</v>
      </c>
      <c r="I37" s="7" t="s">
        <v>592</v>
      </c>
    </row>
    <row r="38" customFormat="false" ht="14.25" hidden="false" customHeight="true" outlineLevel="0" collapsed="false">
      <c r="A38" s="7" t="str">
        <f aca="false">I38</f>
        <v>Personne qui a terminé l'investigation : Nom</v>
      </c>
      <c r="B38" s="7" t="s">
        <v>619</v>
      </c>
      <c r="C38" s="7" t="s">
        <v>27</v>
      </c>
      <c r="D38" s="7"/>
      <c r="E38" s="7"/>
      <c r="F38" s="7"/>
      <c r="H38" s="7" t="s">
        <v>703</v>
      </c>
      <c r="I38" s="7" t="s">
        <v>620</v>
      </c>
    </row>
    <row r="39" customFormat="false" ht="14.25" hidden="false" customHeight="true" outlineLevel="0" collapsed="false">
      <c r="A39" s="7" t="str">
        <f aca="false">I39</f>
        <v>Personne qui a terminé l'investigation : Contact</v>
      </c>
      <c r="B39" s="7" t="s">
        <v>535</v>
      </c>
      <c r="C39" s="7" t="s">
        <v>27</v>
      </c>
      <c r="D39" s="7"/>
      <c r="E39" s="7"/>
      <c r="F39" s="7"/>
      <c r="H39" s="7" t="s">
        <v>704</v>
      </c>
      <c r="I39" s="7" t="s">
        <v>536</v>
      </c>
    </row>
    <row r="40" customFormat="false" ht="14.25" hidden="false" customHeight="true" outlineLevel="0" collapsed="false">
      <c r="A40" s="7" t="str">
        <f aca="false">I40</f>
        <v>ID de l'échantillon</v>
      </c>
      <c r="B40" s="7" t="s">
        <v>513</v>
      </c>
      <c r="C40" s="7" t="s">
        <v>705</v>
      </c>
      <c r="D40" s="7"/>
      <c r="E40" s="7"/>
      <c r="F40" s="7"/>
      <c r="H40" s="7" t="s">
        <v>706</v>
      </c>
      <c r="I40" s="7" t="s">
        <v>514</v>
      </c>
    </row>
    <row r="41" customFormat="false" ht="14.25" hidden="false" customHeight="true" outlineLevel="0" collapsed="false">
      <c r="A41" s="7" t="str">
        <f aca="false">I41</f>
        <v>Type d'échantillon</v>
      </c>
      <c r="B41" s="7" t="s">
        <v>529</v>
      </c>
      <c r="C41" s="7" t="s">
        <v>705</v>
      </c>
      <c r="D41" s="7"/>
      <c r="E41" s="7"/>
      <c r="F41" s="7" t="s">
        <v>707</v>
      </c>
      <c r="H41" s="7" t="s">
        <v>708</v>
      </c>
      <c r="I41" s="7" t="s">
        <v>530</v>
      </c>
    </row>
    <row r="42" customFormat="false" ht="14.25" hidden="false" customHeight="true" outlineLevel="0" collapsed="false">
      <c r="A42" s="7" t="str">
        <f aca="false">I42</f>
        <v>Date de prélèvement de l'échantillon</v>
      </c>
      <c r="B42" s="7" t="s">
        <v>609</v>
      </c>
      <c r="C42" s="7" t="s">
        <v>705</v>
      </c>
      <c r="D42" s="7"/>
      <c r="E42" s="7"/>
      <c r="F42" s="7"/>
      <c r="H42" s="7" t="s">
        <v>709</v>
      </c>
      <c r="I42" s="7" t="s">
        <v>610</v>
      </c>
    </row>
    <row r="43" customFormat="false" ht="14.25" hidden="false" customHeight="true" outlineLevel="0" collapsed="false">
      <c r="A43" s="7" t="str">
        <f aca="false">I43</f>
        <v>Date d'envoi/expedition de l'échantillon au laboratoire</v>
      </c>
      <c r="B43" s="7" t="s">
        <v>617</v>
      </c>
      <c r="C43" s="7" t="s">
        <v>705</v>
      </c>
      <c r="D43" s="7"/>
      <c r="E43" s="7"/>
      <c r="F43" s="7"/>
      <c r="H43" s="7" t="s">
        <v>710</v>
      </c>
      <c r="I43" s="7" t="s">
        <v>618</v>
      </c>
    </row>
    <row r="44" customFormat="false" ht="14.25" hidden="false" customHeight="true" outlineLevel="0" collapsed="false">
      <c r="A44" s="18" t="str">
        <f aca="false">I44</f>
        <v>Suivi / niveau laboratoire</v>
      </c>
      <c r="B44" s="18" t="s">
        <v>655</v>
      </c>
      <c r="C44" s="18" t="s">
        <v>30</v>
      </c>
      <c r="D44" s="7"/>
      <c r="E44" s="7"/>
      <c r="F44" s="7" t="s">
        <v>711</v>
      </c>
      <c r="H44" s="18" t="s">
        <v>712</v>
      </c>
      <c r="I44" s="18" t="s">
        <v>656</v>
      </c>
    </row>
    <row r="45" customFormat="false" ht="14.25" hidden="false" customHeight="true" outlineLevel="0" collapsed="false">
      <c r="A45" s="10" t="str">
        <f aca="false">G45&amp;" - "&amp;I45</f>
        <v>District - Date de réception de l'échantillon</v>
      </c>
      <c r="B45" s="10" t="s">
        <v>603</v>
      </c>
      <c r="C45" s="10" t="s">
        <v>30</v>
      </c>
      <c r="D45" s="7" t="str">
        <f aca="false">"IF|F9CrPrvrtb1.VxdyTZMq4fz|"&amp;G45&amp;"|"&amp;B45&amp;"."&amp;C45</f>
        <v>IF|F9CrPrvrtb1.VxdyTZMq4fz|District|o59BSUIg0Q5.F9CrPrvrtb1</v>
      </c>
      <c r="E45" s="7"/>
      <c r="F45" s="7"/>
      <c r="G45" s="7" t="s">
        <v>248</v>
      </c>
      <c r="H45" s="10" t="s">
        <v>713</v>
      </c>
      <c r="I45" s="10" t="s">
        <v>714</v>
      </c>
    </row>
    <row r="46" customFormat="false" ht="14.25" hidden="false" customHeight="true" outlineLevel="0" collapsed="false">
      <c r="A46" s="10" t="str">
        <f aca="false">G46&amp;" - "&amp;I46</f>
        <v>District - Identification du laboratoire</v>
      </c>
      <c r="B46" s="10" t="s">
        <v>525</v>
      </c>
      <c r="C46" s="10" t="s">
        <v>30</v>
      </c>
      <c r="D46" s="7" t="str">
        <f aca="false">"IF|F9CrPrvrtb1.VxdyTZMq4fz|"&amp;G46&amp;"|"&amp;B46&amp;"."&amp;C46</f>
        <v>IF|F9CrPrvrtb1.VxdyTZMq4fz|District|fhS3GrGepCn.F9CrPrvrtb1</v>
      </c>
      <c r="E46" s="7"/>
      <c r="F46" s="7"/>
      <c r="G46" s="7" t="s">
        <v>248</v>
      </c>
      <c r="H46" s="10" t="s">
        <v>715</v>
      </c>
      <c r="I46" s="10" t="s">
        <v>716</v>
      </c>
    </row>
    <row r="47" customFormat="false" ht="14.25" hidden="false" customHeight="true" outlineLevel="0" collapsed="false">
      <c r="A47" s="10" t="str">
        <f aca="false">G47&amp;" - "&amp;I47</f>
        <v>District - Nom du laboratoire</v>
      </c>
      <c r="B47" s="10" t="s">
        <v>541</v>
      </c>
      <c r="C47" s="10" t="s">
        <v>30</v>
      </c>
      <c r="D47" s="7" t="str">
        <f aca="false">"IF|F9CrPrvrtb1.VxdyTZMq4fz|"&amp;G47&amp;"|"&amp;B47&amp;"."&amp;C47</f>
        <v>IF|F9CrPrvrtb1.VxdyTZMq4fz|District|hN5qrbGeYnF.F9CrPrvrtb1</v>
      </c>
      <c r="E47" s="7"/>
      <c r="F47" s="7" t="s">
        <v>717</v>
      </c>
      <c r="G47" s="7" t="s">
        <v>248</v>
      </c>
      <c r="H47" s="10" t="s">
        <v>718</v>
      </c>
      <c r="I47" s="10" t="s">
        <v>719</v>
      </c>
    </row>
    <row r="48" customFormat="false" ht="14.25" hidden="false" customHeight="true" outlineLevel="0" collapsed="false">
      <c r="A48" s="10" t="str">
        <f aca="false">G48&amp;" - "&amp;I48</f>
        <v>District - État de l'échantillon</v>
      </c>
      <c r="B48" s="10" t="s">
        <v>585</v>
      </c>
      <c r="C48" s="10" t="s">
        <v>30</v>
      </c>
      <c r="D48" s="7" t="str">
        <f aca="false">"IF|F9CrPrvrtb1.VxdyTZMq4fz|"&amp;G48&amp;"|"&amp;B48&amp;"."&amp;C48</f>
        <v>IF|F9CrPrvrtb1.VxdyTZMq4fz|District|kBBrPq9mMEw.F9CrPrvrtb1</v>
      </c>
      <c r="E48" s="7"/>
      <c r="F48" s="7" t="s">
        <v>720</v>
      </c>
      <c r="G48" s="7" t="s">
        <v>248</v>
      </c>
      <c r="H48" s="10" t="s">
        <v>721</v>
      </c>
      <c r="I48" s="10" t="s">
        <v>722</v>
      </c>
    </row>
    <row r="49" customFormat="false" ht="14.25" hidden="false" customHeight="true" outlineLevel="0" collapsed="false">
      <c r="A49" s="10" t="str">
        <f aca="false">G49&amp;" - "&amp;I49</f>
        <v>District - Aspect de l'échantillon / examen macroscopique (LCR)</v>
      </c>
      <c r="B49" s="10" t="s">
        <v>595</v>
      </c>
      <c r="C49" s="10" t="s">
        <v>30</v>
      </c>
      <c r="D49" s="7" t="str">
        <f aca="false">"IF|F9CrPrvrtb1.VxdyTZMq4fz|"&amp;G49&amp;"|"&amp;B49&amp;"."&amp;C49</f>
        <v>IF|F9CrPrvrtb1.VxdyTZMq4fz|District|LjgDKL4jm5K.F9CrPrvrtb1</v>
      </c>
      <c r="E49" s="7"/>
      <c r="F49" s="7" t="s">
        <v>723</v>
      </c>
      <c r="G49" s="7" t="s">
        <v>248</v>
      </c>
      <c r="H49" s="10" t="s">
        <v>724</v>
      </c>
      <c r="I49" s="10" t="s">
        <v>725</v>
      </c>
    </row>
    <row r="50" customFormat="false" ht="14.25" hidden="false" customHeight="true" outlineLevel="0" collapsed="false">
      <c r="A50" s="10" t="str">
        <f aca="false">G50&amp;" - "&amp;I50</f>
        <v>District - Résultat de la coloration de Gram</v>
      </c>
      <c r="B50" s="10" t="s">
        <v>571</v>
      </c>
      <c r="C50" s="10" t="s">
        <v>30</v>
      </c>
      <c r="D50" s="7" t="str">
        <f aca="false">"IF|F9CrPrvrtb1.VxdyTZMq4fz|"&amp;G50&amp;"|"&amp;B50&amp;"."&amp;C50</f>
        <v>IF|F9CrPrvrtb1.VxdyTZMq4fz|District|jo9nGjYxvxJ.F9CrPrvrtb1</v>
      </c>
      <c r="E50" s="7"/>
      <c r="F50" s="7" t="s">
        <v>726</v>
      </c>
      <c r="G50" s="7" t="s">
        <v>248</v>
      </c>
      <c r="H50" s="10" t="s">
        <v>727</v>
      </c>
      <c r="I50" s="10" t="s">
        <v>728</v>
      </c>
    </row>
    <row r="51" customFormat="false" ht="14.25" hidden="false" customHeight="true" outlineLevel="0" collapsed="false">
      <c r="A51" s="10" t="str">
        <f aca="false">G51&amp;" - "&amp;I51</f>
        <v>District - Résultat de l'agglutination du latex</v>
      </c>
      <c r="B51" s="10" t="s">
        <v>551</v>
      </c>
      <c r="C51" s="10" t="s">
        <v>30</v>
      </c>
      <c r="D51" s="7" t="str">
        <f aca="false">"IF|F9CrPrvrtb1.VxdyTZMq4fz|"&amp;G51&amp;"|"&amp;B51&amp;"."&amp;C51</f>
        <v>IF|F9CrPrvrtb1.VxdyTZMq4fz|District|IiInVS6fKH3.F9CrPrvrtb1</v>
      </c>
      <c r="E51" s="7"/>
      <c r="F51" s="7" t="s">
        <v>729</v>
      </c>
      <c r="G51" s="7" t="s">
        <v>248</v>
      </c>
      <c r="H51" s="10" t="s">
        <v>730</v>
      </c>
      <c r="I51" s="10" t="s">
        <v>731</v>
      </c>
    </row>
    <row r="52" customFormat="false" ht="14.25" hidden="false" customHeight="true" outlineLevel="0" collapsed="false">
      <c r="A52" s="10" t="str">
        <f aca="false">G52&amp;" - "&amp;I52</f>
        <v>District - test TDR utilisé (préciser)</v>
      </c>
      <c r="B52" s="10" t="s">
        <v>567</v>
      </c>
      <c r="C52" s="10" t="s">
        <v>30</v>
      </c>
      <c r="D52" s="7" t="str">
        <f aca="false">"IF|F9CrPrvrtb1.VxdyTZMq4fz|"&amp;G52&amp;"|"&amp;B52&amp;"."&amp;C52</f>
        <v>IF|F9CrPrvrtb1.VxdyTZMq4fz|District|jG9A796Xvo8.F9CrPrvrtb1</v>
      </c>
      <c r="E52" s="7"/>
      <c r="F52" s="7"/>
      <c r="G52" s="7" t="s">
        <v>248</v>
      </c>
      <c r="H52" s="10" t="s">
        <v>732</v>
      </c>
      <c r="I52" s="10" t="s">
        <v>733</v>
      </c>
    </row>
    <row r="53" customFormat="false" ht="14.25" hidden="false" customHeight="true" outlineLevel="0" collapsed="false">
      <c r="A53" s="10" t="str">
        <f aca="false">G53&amp;" - "&amp;I53</f>
        <v>District - Résultat du TDR</v>
      </c>
      <c r="B53" s="10" t="s">
        <v>563</v>
      </c>
      <c r="C53" s="10" t="s">
        <v>30</v>
      </c>
      <c r="D53" s="7" t="str">
        <f aca="false">"IF|F9CrPrvrtb1.VxdyTZMq4fz|"&amp;G53&amp;"|"&amp;B53&amp;"."&amp;C53</f>
        <v>IF|F9CrPrvrtb1.VxdyTZMq4fz|District|jC5HBD3N2h5.F9CrPrvrtb1</v>
      </c>
      <c r="E53" s="7"/>
      <c r="F53" s="7" t="s">
        <v>734</v>
      </c>
      <c r="G53" s="7" t="s">
        <v>248</v>
      </c>
      <c r="H53" s="10" t="s">
        <v>735</v>
      </c>
      <c r="I53" s="10" t="s">
        <v>736</v>
      </c>
    </row>
    <row r="54" customFormat="false" ht="14.25" hidden="false" customHeight="true" outlineLevel="0" collapsed="false">
      <c r="A54" s="10" t="str">
        <f aca="false">G54&amp;" - "&amp;I54</f>
        <v>District - Résultat de la culture </v>
      </c>
      <c r="B54" s="10" t="s">
        <v>515</v>
      </c>
      <c r="C54" s="10" t="s">
        <v>30</v>
      </c>
      <c r="D54" s="7" t="str">
        <f aca="false">"IF|F9CrPrvrtb1.VxdyTZMq4fz|"&amp;G54&amp;"|"&amp;B54&amp;"."&amp;C54</f>
        <v>IF|F9CrPrvrtb1.VxdyTZMq4fz|District|dYZ8yAOfGfN.F9CrPrvrtb1</v>
      </c>
      <c r="E54" s="7"/>
      <c r="F54" s="7" t="s">
        <v>734</v>
      </c>
      <c r="G54" s="7" t="s">
        <v>248</v>
      </c>
      <c r="H54" s="10" t="s">
        <v>737</v>
      </c>
      <c r="I54" s="10" t="s">
        <v>738</v>
      </c>
    </row>
    <row r="55" customFormat="false" ht="14.25" hidden="false" customHeight="true" outlineLevel="0" collapsed="false">
      <c r="A55" s="10" t="str">
        <f aca="false">G55&amp;" - "&amp;I55</f>
        <v>District - Numération des globules blancs</v>
      </c>
      <c r="B55" s="10" t="s">
        <v>631</v>
      </c>
      <c r="C55" s="10" t="s">
        <v>30</v>
      </c>
      <c r="D55" s="7" t="str">
        <f aca="false">"IF|F9CrPrvrtb1.VxdyTZMq4fz|"&amp;G55&amp;"|"&amp;B55&amp;"."&amp;C55</f>
        <v>IF|F9CrPrvrtb1.VxdyTZMq4fz|District|sqSuC1ehij1.F9CrPrvrtb1</v>
      </c>
      <c r="E55" s="7"/>
      <c r="F55" s="7"/>
      <c r="G55" s="7" t="s">
        <v>248</v>
      </c>
      <c r="H55" s="10" t="s">
        <v>739</v>
      </c>
      <c r="I55" s="10" t="s">
        <v>740</v>
      </c>
    </row>
    <row r="56" customFormat="false" ht="14.25" hidden="false" customHeight="true" outlineLevel="0" collapsed="false">
      <c r="A56" s="10" t="str">
        <f aca="false">G56&amp;" - "&amp;I56</f>
        <v>District - Date du PCR</v>
      </c>
      <c r="B56" s="10" t="s">
        <v>647</v>
      </c>
      <c r="C56" s="10" t="s">
        <v>30</v>
      </c>
      <c r="D56" s="7" t="str">
        <f aca="false">"IF|F9CrPrvrtb1.VxdyTZMq4fz|"&amp;G56&amp;"|"&amp;B56&amp;"."&amp;C56</f>
        <v>IF|F9CrPrvrtb1.VxdyTZMq4fz|District|vbRIm76FqPH.F9CrPrvrtb1</v>
      </c>
      <c r="E56" s="7"/>
      <c r="F56" s="7"/>
      <c r="G56" s="7" t="s">
        <v>248</v>
      </c>
      <c r="H56" s="10" t="s">
        <v>741</v>
      </c>
      <c r="I56" s="10" t="s">
        <v>742</v>
      </c>
    </row>
    <row r="57" customFormat="false" ht="14.25" hidden="false" customHeight="true" outlineLevel="0" collapsed="false">
      <c r="A57" s="10" t="str">
        <f aca="false">G57&amp;" - "&amp;I57</f>
        <v>District - Résultat du PCR</v>
      </c>
      <c r="B57" s="10" t="s">
        <v>651</v>
      </c>
      <c r="C57" s="10" t="s">
        <v>30</v>
      </c>
      <c r="D57" s="7" t="str">
        <f aca="false">"IF|F9CrPrvrtb1.VxdyTZMq4fz|"&amp;G57&amp;"|"&amp;B57&amp;"."&amp;C57</f>
        <v>IF|F9CrPrvrtb1.VxdyTZMq4fz|District|VXC7HA1ypLa.F9CrPrvrtb1</v>
      </c>
      <c r="E57" s="7"/>
      <c r="F57" s="7" t="s">
        <v>734</v>
      </c>
      <c r="G57" s="7" t="s">
        <v>248</v>
      </c>
      <c r="H57" s="10" t="s">
        <v>743</v>
      </c>
      <c r="I57" s="10" t="s">
        <v>744</v>
      </c>
    </row>
    <row r="58" customFormat="false" ht="14.25" hidden="false" customHeight="true" outlineLevel="0" collapsed="false">
      <c r="A58" s="10" t="str">
        <f aca="false">G58&amp;" - "&amp;I58</f>
        <v>District - Etat frais</v>
      </c>
      <c r="B58" s="10" t="s">
        <v>575</v>
      </c>
      <c r="C58" s="10" t="s">
        <v>30</v>
      </c>
      <c r="D58" s="7" t="str">
        <f aca="false">"IF|F9CrPrvrtb1.VxdyTZMq4fz|"&amp;G58&amp;"|"&amp;B58&amp;"."&amp;C58</f>
        <v>IF|F9CrPrvrtb1.VxdyTZMq4fz|District|juvZrUT1h3P.F9CrPrvrtb1</v>
      </c>
      <c r="E58" s="7"/>
      <c r="F58" s="7"/>
      <c r="G58" s="7" t="s">
        <v>248</v>
      </c>
      <c r="H58" s="10" t="s">
        <v>745</v>
      </c>
      <c r="I58" s="10" t="s">
        <v>746</v>
      </c>
    </row>
    <row r="59" customFormat="false" ht="14.25" hidden="false" customHeight="true" outlineLevel="0" collapsed="false">
      <c r="A59" s="10" t="str">
        <f aca="false">G59&amp;" - "&amp;I59</f>
        <v>District - LYMPH(%)</v>
      </c>
      <c r="B59" s="10" t="s">
        <v>531</v>
      </c>
      <c r="C59" s="10" t="s">
        <v>30</v>
      </c>
      <c r="D59" s="7" t="str">
        <f aca="false">"IF|F9CrPrvrtb1.VxdyTZMq4fz|"&amp;G59&amp;"|"&amp;B59&amp;"."&amp;C59</f>
        <v>IF|F9CrPrvrtb1.VxdyTZMq4fz|District|fw1kz1gpanC.F9CrPrvrtb1</v>
      </c>
      <c r="E59" s="7"/>
      <c r="F59" s="7"/>
      <c r="G59" s="7" t="s">
        <v>248</v>
      </c>
      <c r="H59" s="10" t="s">
        <v>747</v>
      </c>
      <c r="I59" s="10" t="s">
        <v>748</v>
      </c>
    </row>
    <row r="60" customFormat="false" ht="14.25" hidden="false" customHeight="true" outlineLevel="0" collapsed="false">
      <c r="A60" s="10" t="str">
        <f aca="false">G60&amp;" - "&amp;I60</f>
        <v>District - PN(%)</v>
      </c>
      <c r="B60" s="10" t="s">
        <v>657</v>
      </c>
      <c r="C60" s="10" t="s">
        <v>30</v>
      </c>
      <c r="D60" s="7" t="str">
        <f aca="false">"IF|F9CrPrvrtb1.VxdyTZMq4fz|"&amp;G60&amp;"|"&amp;B60&amp;"."&amp;C60</f>
        <v>IF|F9CrPrvrtb1.VxdyTZMq4fz|District|WFrppPdafQl.F9CrPrvrtb1</v>
      </c>
      <c r="E60" s="7"/>
      <c r="F60" s="7"/>
      <c r="G60" s="7" t="s">
        <v>248</v>
      </c>
      <c r="H60" s="10" t="s">
        <v>749</v>
      </c>
      <c r="I60" s="10" t="s">
        <v>750</v>
      </c>
    </row>
    <row r="61" customFormat="false" ht="14.25" hidden="false" customHeight="true" outlineLevel="0" collapsed="false">
      <c r="A61" s="10" t="str">
        <f aca="false">G61&amp;" - "&amp;I61</f>
        <v>District - Sensibilité à la pénicilline</v>
      </c>
      <c r="B61" s="10" t="s">
        <v>29</v>
      </c>
      <c r="C61" s="10" t="s">
        <v>30</v>
      </c>
      <c r="D61" s="7" t="str">
        <f aca="false">"IF|F9CrPrvrtb1.VxdyTZMq4fz|"&amp;G61&amp;"|"&amp;B61&amp;"."&amp;C61</f>
        <v>IF|F9CrPrvrtb1.VxdyTZMq4fz|District|JrIMAA2Ubbl.F9CrPrvrtb1</v>
      </c>
      <c r="E61" s="7"/>
      <c r="F61" s="7" t="s">
        <v>751</v>
      </c>
      <c r="G61" s="7" t="s">
        <v>248</v>
      </c>
      <c r="H61" s="10" t="s">
        <v>752</v>
      </c>
      <c r="I61" s="10" t="s">
        <v>60</v>
      </c>
    </row>
    <row r="62" customFormat="false" ht="14.25" hidden="false" customHeight="true" outlineLevel="0" collapsed="false">
      <c r="A62" s="10" t="str">
        <f aca="false">G62&amp;" - "&amp;I62</f>
        <v>District - Sensibilité à la ceftriaxone</v>
      </c>
      <c r="B62" s="10" t="s">
        <v>579</v>
      </c>
      <c r="C62" s="10" t="s">
        <v>30</v>
      </c>
      <c r="D62" s="7" t="str">
        <f aca="false">"IF|F9CrPrvrtb1.VxdyTZMq4fz|"&amp;G62&amp;"|"&amp;B62&amp;"."&amp;C62</f>
        <v>IF|F9CrPrvrtb1.VxdyTZMq4fz|District|jXANIQUFvqc.F9CrPrvrtb1</v>
      </c>
      <c r="E62" s="7"/>
      <c r="F62" s="7" t="s">
        <v>751</v>
      </c>
      <c r="G62" s="7" t="s">
        <v>248</v>
      </c>
      <c r="H62" s="10" t="s">
        <v>753</v>
      </c>
      <c r="I62" s="10" t="s">
        <v>754</v>
      </c>
    </row>
    <row r="63" customFormat="false" ht="14.25" hidden="false" customHeight="true" outlineLevel="0" collapsed="false">
      <c r="A63" s="10" t="str">
        <f aca="false">G63&amp;" - "&amp;I63</f>
        <v>District - Sensibilité à la ciprofloxacine</v>
      </c>
      <c r="B63" s="10" t="s">
        <v>509</v>
      </c>
      <c r="C63" s="10" t="s">
        <v>30</v>
      </c>
      <c r="D63" s="7" t="str">
        <f aca="false">"IF|F9CrPrvrtb1.VxdyTZMq4fz|"&amp;G63&amp;"|"&amp;B63&amp;"."&amp;C63</f>
        <v>IF|F9CrPrvrtb1.VxdyTZMq4fz|District|CAHdBvzG00V.F9CrPrvrtb1</v>
      </c>
      <c r="E63" s="7"/>
      <c r="F63" s="7" t="s">
        <v>751</v>
      </c>
      <c r="G63" s="7" t="s">
        <v>248</v>
      </c>
      <c r="H63" s="10" t="s">
        <v>755</v>
      </c>
      <c r="I63" s="10" t="s">
        <v>756</v>
      </c>
    </row>
    <row r="64" customFormat="false" ht="14.25" hidden="false" customHeight="true" outlineLevel="0" collapsed="false">
      <c r="A64" s="10" t="str">
        <f aca="false">G64&amp;" - "&amp;I64</f>
        <v>District - Sensibilité à l'oxacilline</v>
      </c>
      <c r="B64" s="10" t="s">
        <v>519</v>
      </c>
      <c r="C64" s="10" t="s">
        <v>30</v>
      </c>
      <c r="D64" s="7" t="str">
        <f aca="false">"IF|F9CrPrvrtb1.VxdyTZMq4fz|"&amp;G64&amp;"|"&amp;B64&amp;"."&amp;C64</f>
        <v>IF|F9CrPrvrtb1.VxdyTZMq4fz|District|E4SfiWAIaTR.F9CrPrvrtb1</v>
      </c>
      <c r="E64" s="7"/>
      <c r="F64" s="7" t="s">
        <v>751</v>
      </c>
      <c r="G64" s="7" t="s">
        <v>248</v>
      </c>
      <c r="H64" s="10" t="s">
        <v>757</v>
      </c>
      <c r="I64" s="10" t="s">
        <v>758</v>
      </c>
    </row>
    <row r="65" customFormat="false" ht="14.25" hidden="false" customHeight="true" outlineLevel="0" collapsed="false">
      <c r="A65" s="10" t="str">
        <f aca="false">G65&amp;" - "&amp;I65</f>
        <v>District - Autres antibiotiques testés</v>
      </c>
      <c r="B65" s="10" t="s">
        <v>497</v>
      </c>
      <c r="C65" s="10" t="s">
        <v>30</v>
      </c>
      <c r="D65" s="7" t="str">
        <f aca="false">"IF|F9CrPrvrtb1.VxdyTZMq4fz|"&amp;G65&amp;"|"&amp;B65&amp;"."&amp;C65</f>
        <v>IF|F9CrPrvrtb1.VxdyTZMq4fz|District|aWLt5NgPpr1.F9CrPrvrtb1</v>
      </c>
      <c r="E65" s="7"/>
      <c r="F65" s="7"/>
      <c r="G65" s="7" t="s">
        <v>248</v>
      </c>
      <c r="H65" s="10" t="s">
        <v>759</v>
      </c>
      <c r="I65" s="10" t="s">
        <v>760</v>
      </c>
    </row>
    <row r="66" customFormat="false" ht="14.25" hidden="false" customHeight="true" outlineLevel="0" collapsed="false">
      <c r="A66" s="10" t="str">
        <f aca="false">G66&amp;" - "&amp;I66</f>
        <v>District - résultat de l'analyse d'autres antibiotiques</v>
      </c>
      <c r="B66" s="10" t="s">
        <v>635</v>
      </c>
      <c r="C66" s="10" t="s">
        <v>30</v>
      </c>
      <c r="D66" s="7" t="str">
        <f aca="false">"IF|F9CrPrvrtb1.VxdyTZMq4fz|"&amp;G66&amp;"|"&amp;B66&amp;"."&amp;C66</f>
        <v>IF|F9CrPrvrtb1.VxdyTZMq4fz|District|TTZyNR1cSkI.F9CrPrvrtb1</v>
      </c>
      <c r="E66" s="7"/>
      <c r="F66" s="7" t="s">
        <v>751</v>
      </c>
      <c r="G66" s="7" t="s">
        <v>248</v>
      </c>
      <c r="H66" s="10" t="s">
        <v>761</v>
      </c>
      <c r="I66" s="10" t="s">
        <v>762</v>
      </c>
    </row>
    <row r="67" customFormat="false" ht="14.25" hidden="false" customHeight="true" outlineLevel="0" collapsed="false">
      <c r="A67" s="10" t="str">
        <f aca="false">G67&amp;" - "&amp;I67</f>
        <v>District - Autres résultats de tests</v>
      </c>
      <c r="B67" s="10" t="s">
        <v>559</v>
      </c>
      <c r="C67" s="10" t="s">
        <v>30</v>
      </c>
      <c r="D67" s="7" t="str">
        <f aca="false">"IF|F9CrPrvrtb1.VxdyTZMq4fz|"&amp;G67&amp;"|"&amp;B67&amp;"."&amp;C67</f>
        <v>IF|F9CrPrvrtb1.VxdyTZMq4fz|District|j8xNVOBsWMr.F9CrPrvrtb1</v>
      </c>
      <c r="E67" s="7"/>
      <c r="F67" s="7"/>
      <c r="G67" s="7" t="s">
        <v>248</v>
      </c>
      <c r="H67" s="10" t="s">
        <v>763</v>
      </c>
      <c r="I67" s="10" t="s">
        <v>764</v>
      </c>
    </row>
    <row r="68" customFormat="false" ht="14.25" hidden="false" customHeight="true" outlineLevel="0" collapsed="false">
      <c r="A68" s="10" t="str">
        <f aca="false">G68&amp;" - "&amp;I68</f>
        <v>District - Résultat final du laboratoire</v>
      </c>
      <c r="B68" s="10" t="s">
        <v>505</v>
      </c>
      <c r="C68" s="10" t="s">
        <v>30</v>
      </c>
      <c r="D68" s="7" t="str">
        <f aca="false">"IF|F9CrPrvrtb1.VxdyTZMq4fz|"&amp;G68&amp;"|"&amp;B68&amp;"."&amp;C68</f>
        <v>IF|F9CrPrvrtb1.VxdyTZMq4fz|District|bX9jmncMHLC.F9CrPrvrtb1</v>
      </c>
      <c r="E68" s="7"/>
      <c r="F68" s="7" t="s">
        <v>765</v>
      </c>
      <c r="G68" s="7" t="s">
        <v>248</v>
      </c>
      <c r="H68" s="10" t="s">
        <v>766</v>
      </c>
      <c r="I68" s="10" t="s">
        <v>767</v>
      </c>
    </row>
    <row r="69" customFormat="false" ht="14.25" hidden="false" customHeight="true" outlineLevel="0" collapsed="false">
      <c r="A69" s="10" t="str">
        <f aca="false">G69&amp;" - "&amp;I69</f>
        <v>District - sérotype S. pneumoniae</v>
      </c>
      <c r="B69" s="10" t="s">
        <v>545</v>
      </c>
      <c r="C69" s="10" t="s">
        <v>30</v>
      </c>
      <c r="D69" s="7" t="str">
        <f aca="false">"IF|F9CrPrvrtb1.VxdyTZMq4fz|"&amp;G69&amp;"|"&amp;B69&amp;"."&amp;C69</f>
        <v>IF|F9CrPrvrtb1.VxdyTZMq4fz|District|HoNyj7eawmh.F9CrPrvrtb1</v>
      </c>
      <c r="E69" s="7"/>
      <c r="F69" s="7" t="s">
        <v>768</v>
      </c>
      <c r="G69" s="7" t="s">
        <v>248</v>
      </c>
      <c r="H69" s="10" t="s">
        <v>769</v>
      </c>
      <c r="I69" s="10" t="s">
        <v>770</v>
      </c>
    </row>
    <row r="70" customFormat="false" ht="14.25" hidden="false" customHeight="true" outlineLevel="0" collapsed="false">
      <c r="A70" s="10" t="str">
        <f aca="false">G70&amp;" - "&amp;I70</f>
        <v>District - Date d'envoi des résultats finaux du laboratoire au ministère de la santé</v>
      </c>
      <c r="B70" s="10" t="s">
        <v>627</v>
      </c>
      <c r="C70" s="10" t="s">
        <v>30</v>
      </c>
      <c r="D70" s="7" t="str">
        <f aca="false">"IF|F9CrPrvrtb1.VxdyTZMq4fz|"&amp;G70&amp;"|"&amp;B70&amp;"."&amp;C70</f>
        <v>IF|F9CrPrvrtb1.VxdyTZMq4fz|District|sBqrtlW8hGb.F9CrPrvrtb1</v>
      </c>
      <c r="E70" s="7"/>
      <c r="F70" s="7"/>
      <c r="G70" s="7" t="s">
        <v>248</v>
      </c>
      <c r="H70" s="10" t="s">
        <v>771</v>
      </c>
      <c r="I70" s="10" t="s">
        <v>772</v>
      </c>
    </row>
    <row r="71" customFormat="false" ht="14.25" hidden="false" customHeight="true" outlineLevel="0" collapsed="false">
      <c r="A71" s="10" t="str">
        <f aca="false">G71&amp;" - "&amp;I71</f>
        <v>District - Date d'envoi des résultats finaux du laboratoire au district</v>
      </c>
      <c r="B71" s="10" t="s">
        <v>643</v>
      </c>
      <c r="C71" s="10" t="s">
        <v>30</v>
      </c>
      <c r="D71" s="7" t="str">
        <f aca="false">"IF|F9CrPrvrtb1.VxdyTZMq4fz|"&amp;G71&amp;"|"&amp;B71&amp;"."&amp;C71</f>
        <v>IF|F9CrPrvrtb1.VxdyTZMq4fz|District|UZJj6L9XCd8.F9CrPrvrtb1</v>
      </c>
      <c r="E71" s="7"/>
      <c r="F71" s="7"/>
      <c r="G71" s="7" t="s">
        <v>248</v>
      </c>
      <c r="H71" s="10" t="s">
        <v>773</v>
      </c>
      <c r="I71" s="10" t="s">
        <v>774</v>
      </c>
    </row>
    <row r="72" customFormat="false" ht="14.25" hidden="false" customHeight="true" outlineLevel="0" collapsed="false">
      <c r="A72" s="8" t="str">
        <f aca="false">G72&amp;" - "&amp;I72</f>
        <v>Regional - Date de réception de l'échantillon</v>
      </c>
      <c r="B72" s="8" t="s">
        <v>603</v>
      </c>
      <c r="C72" s="8" t="s">
        <v>30</v>
      </c>
      <c r="D72" s="7" t="str">
        <f aca="false">"IF|F9CrPrvrtb1.VxdyTZMq4fz|"&amp;G72&amp;"|"&amp;B72&amp;"."&amp;C72</f>
        <v>IF|F9CrPrvrtb1.VxdyTZMq4fz|Regional|o59BSUIg0Q5.F9CrPrvrtb1</v>
      </c>
      <c r="E72" s="7"/>
      <c r="F72" s="7"/>
      <c r="G72" s="7" t="s">
        <v>775</v>
      </c>
      <c r="H72" s="8" t="s">
        <v>713</v>
      </c>
      <c r="I72" s="8" t="s">
        <v>714</v>
      </c>
    </row>
    <row r="73" customFormat="false" ht="14.25" hidden="false" customHeight="true" outlineLevel="0" collapsed="false">
      <c r="A73" s="8" t="str">
        <f aca="false">G73&amp;" - "&amp;I73</f>
        <v>Regional - Identification du laboratoire</v>
      </c>
      <c r="B73" s="8" t="s">
        <v>525</v>
      </c>
      <c r="C73" s="8" t="s">
        <v>30</v>
      </c>
      <c r="D73" s="7" t="str">
        <f aca="false">"IF|F9CrPrvrtb1.VxdyTZMq4fz|"&amp;G73&amp;"|"&amp;B73&amp;"."&amp;C73</f>
        <v>IF|F9CrPrvrtb1.VxdyTZMq4fz|Regional|fhS3GrGepCn.F9CrPrvrtb1</v>
      </c>
      <c r="E73" s="7"/>
      <c r="F73" s="7"/>
      <c r="G73" s="7" t="s">
        <v>775</v>
      </c>
      <c r="H73" s="8" t="s">
        <v>715</v>
      </c>
      <c r="I73" s="8" t="s">
        <v>716</v>
      </c>
    </row>
    <row r="74" customFormat="false" ht="14.25" hidden="false" customHeight="true" outlineLevel="0" collapsed="false">
      <c r="A74" s="8" t="str">
        <f aca="false">G74&amp;" - "&amp;I74</f>
        <v>Regional - Nom du laboratoire</v>
      </c>
      <c r="B74" s="8" t="s">
        <v>541</v>
      </c>
      <c r="C74" s="8" t="s">
        <v>30</v>
      </c>
      <c r="D74" s="7" t="str">
        <f aca="false">"IF|F9CrPrvrtb1.VxdyTZMq4fz|"&amp;G74&amp;"|"&amp;B74&amp;"."&amp;C74</f>
        <v>IF|F9CrPrvrtb1.VxdyTZMq4fz|Regional|hN5qrbGeYnF.F9CrPrvrtb1</v>
      </c>
      <c r="E74" s="7"/>
      <c r="F74" s="7" t="s">
        <v>717</v>
      </c>
      <c r="G74" s="7" t="s">
        <v>775</v>
      </c>
      <c r="H74" s="8" t="s">
        <v>718</v>
      </c>
      <c r="I74" s="8" t="s">
        <v>719</v>
      </c>
    </row>
    <row r="75" customFormat="false" ht="14.25" hidden="false" customHeight="true" outlineLevel="0" collapsed="false">
      <c r="A75" s="8" t="str">
        <f aca="false">G75&amp;" - "&amp;I75</f>
        <v>Regional - État de l'échantillon</v>
      </c>
      <c r="B75" s="8" t="s">
        <v>585</v>
      </c>
      <c r="C75" s="8" t="s">
        <v>30</v>
      </c>
      <c r="D75" s="7" t="str">
        <f aca="false">"IF|F9CrPrvrtb1.VxdyTZMq4fz|"&amp;G75&amp;"|"&amp;B75&amp;"."&amp;C75</f>
        <v>IF|F9CrPrvrtb1.VxdyTZMq4fz|Regional|kBBrPq9mMEw.F9CrPrvrtb1</v>
      </c>
      <c r="E75" s="7"/>
      <c r="F75" s="7" t="s">
        <v>720</v>
      </c>
      <c r="G75" s="7" t="s">
        <v>775</v>
      </c>
      <c r="H75" s="8" t="s">
        <v>721</v>
      </c>
      <c r="I75" s="8" t="s">
        <v>722</v>
      </c>
    </row>
    <row r="76" customFormat="false" ht="14.25" hidden="false" customHeight="true" outlineLevel="0" collapsed="false">
      <c r="A76" s="8" t="str">
        <f aca="false">G76&amp;" - "&amp;I76</f>
        <v>Regional - Aspect de l'échantillon / examen macroscopique (LCR)</v>
      </c>
      <c r="B76" s="8" t="s">
        <v>595</v>
      </c>
      <c r="C76" s="8" t="s">
        <v>30</v>
      </c>
      <c r="D76" s="7" t="str">
        <f aca="false">"IF|F9CrPrvrtb1.VxdyTZMq4fz|"&amp;G76&amp;"|"&amp;B76&amp;"."&amp;C76</f>
        <v>IF|F9CrPrvrtb1.VxdyTZMq4fz|Regional|LjgDKL4jm5K.F9CrPrvrtb1</v>
      </c>
      <c r="E76" s="7"/>
      <c r="F76" s="7" t="s">
        <v>723</v>
      </c>
      <c r="G76" s="7" t="s">
        <v>775</v>
      </c>
      <c r="H76" s="8" t="s">
        <v>724</v>
      </c>
      <c r="I76" s="8" t="s">
        <v>725</v>
      </c>
    </row>
    <row r="77" customFormat="false" ht="14.25" hidden="false" customHeight="true" outlineLevel="0" collapsed="false">
      <c r="A77" s="8" t="str">
        <f aca="false">G77&amp;" - "&amp;I77</f>
        <v>Regional - Résultat de la coloration de Gram</v>
      </c>
      <c r="B77" s="8" t="s">
        <v>571</v>
      </c>
      <c r="C77" s="8" t="s">
        <v>30</v>
      </c>
      <c r="D77" s="7" t="str">
        <f aca="false">"IF|F9CrPrvrtb1.VxdyTZMq4fz|"&amp;G77&amp;"|"&amp;B77&amp;"."&amp;C77</f>
        <v>IF|F9CrPrvrtb1.VxdyTZMq4fz|Regional|jo9nGjYxvxJ.F9CrPrvrtb1</v>
      </c>
      <c r="E77" s="7"/>
      <c r="F77" s="7" t="s">
        <v>726</v>
      </c>
      <c r="G77" s="7" t="s">
        <v>775</v>
      </c>
      <c r="H77" s="8" t="s">
        <v>727</v>
      </c>
      <c r="I77" s="8" t="s">
        <v>728</v>
      </c>
    </row>
    <row r="78" customFormat="false" ht="14.25" hidden="false" customHeight="true" outlineLevel="0" collapsed="false">
      <c r="A78" s="8" t="str">
        <f aca="false">G78&amp;" - "&amp;I78</f>
        <v>Regional - Résultat de l'agglutination du latex</v>
      </c>
      <c r="B78" s="8" t="s">
        <v>551</v>
      </c>
      <c r="C78" s="8" t="s">
        <v>30</v>
      </c>
      <c r="D78" s="7" t="str">
        <f aca="false">"IF|F9CrPrvrtb1.VxdyTZMq4fz|"&amp;G78&amp;"|"&amp;B78&amp;"."&amp;C78</f>
        <v>IF|F9CrPrvrtb1.VxdyTZMq4fz|Regional|IiInVS6fKH3.F9CrPrvrtb1</v>
      </c>
      <c r="E78" s="7"/>
      <c r="F78" s="7" t="s">
        <v>729</v>
      </c>
      <c r="G78" s="7" t="s">
        <v>775</v>
      </c>
      <c r="H78" s="8" t="s">
        <v>730</v>
      </c>
      <c r="I78" s="8" t="s">
        <v>731</v>
      </c>
    </row>
    <row r="79" customFormat="false" ht="14.25" hidden="false" customHeight="true" outlineLevel="0" collapsed="false">
      <c r="A79" s="8" t="str">
        <f aca="false">G79&amp;" - "&amp;I79</f>
        <v>Regional - test TDR utilisé (préciser)</v>
      </c>
      <c r="B79" s="8" t="s">
        <v>567</v>
      </c>
      <c r="C79" s="8" t="s">
        <v>30</v>
      </c>
      <c r="D79" s="7" t="str">
        <f aca="false">"IF|F9CrPrvrtb1.VxdyTZMq4fz|"&amp;G79&amp;"|"&amp;B79&amp;"."&amp;C79</f>
        <v>IF|F9CrPrvrtb1.VxdyTZMq4fz|Regional|jG9A796Xvo8.F9CrPrvrtb1</v>
      </c>
      <c r="E79" s="7"/>
      <c r="F79" s="7"/>
      <c r="G79" s="7" t="s">
        <v>775</v>
      </c>
      <c r="H79" s="8" t="s">
        <v>732</v>
      </c>
      <c r="I79" s="8" t="s">
        <v>733</v>
      </c>
    </row>
    <row r="80" customFormat="false" ht="14.25" hidden="false" customHeight="true" outlineLevel="0" collapsed="false">
      <c r="A80" s="8" t="str">
        <f aca="false">G80&amp;" - "&amp;I80</f>
        <v>Regional - Résultat du TDR</v>
      </c>
      <c r="B80" s="8" t="s">
        <v>563</v>
      </c>
      <c r="C80" s="8" t="s">
        <v>30</v>
      </c>
      <c r="D80" s="7" t="str">
        <f aca="false">"IF|F9CrPrvrtb1.VxdyTZMq4fz|"&amp;G80&amp;"|"&amp;B80&amp;"."&amp;C80</f>
        <v>IF|F9CrPrvrtb1.VxdyTZMq4fz|Regional|jC5HBD3N2h5.F9CrPrvrtb1</v>
      </c>
      <c r="E80" s="7"/>
      <c r="F80" s="7" t="s">
        <v>734</v>
      </c>
      <c r="G80" s="7" t="s">
        <v>775</v>
      </c>
      <c r="H80" s="8" t="s">
        <v>735</v>
      </c>
      <c r="I80" s="8" t="s">
        <v>736</v>
      </c>
    </row>
    <row r="81" customFormat="false" ht="14.25" hidden="false" customHeight="true" outlineLevel="0" collapsed="false">
      <c r="A81" s="8" t="str">
        <f aca="false">G81&amp;" - "&amp;I81</f>
        <v>Regional - Résultat de la culture </v>
      </c>
      <c r="B81" s="8" t="s">
        <v>515</v>
      </c>
      <c r="C81" s="8" t="s">
        <v>30</v>
      </c>
      <c r="D81" s="7" t="str">
        <f aca="false">"IF|F9CrPrvrtb1.VxdyTZMq4fz|"&amp;G81&amp;"|"&amp;B81&amp;"."&amp;C81</f>
        <v>IF|F9CrPrvrtb1.VxdyTZMq4fz|Regional|dYZ8yAOfGfN.F9CrPrvrtb1</v>
      </c>
      <c r="E81" s="7"/>
      <c r="F81" s="7" t="s">
        <v>734</v>
      </c>
      <c r="G81" s="7" t="s">
        <v>775</v>
      </c>
      <c r="H81" s="8" t="s">
        <v>737</v>
      </c>
      <c r="I81" s="8" t="s">
        <v>738</v>
      </c>
    </row>
    <row r="82" customFormat="false" ht="14.25" hidden="false" customHeight="true" outlineLevel="0" collapsed="false">
      <c r="A82" s="8" t="str">
        <f aca="false">G82&amp;" - "&amp;I82</f>
        <v>Regional - Numération des globules blancs</v>
      </c>
      <c r="B82" s="8" t="s">
        <v>631</v>
      </c>
      <c r="C82" s="8" t="s">
        <v>30</v>
      </c>
      <c r="D82" s="7" t="str">
        <f aca="false">"IF|F9CrPrvrtb1.VxdyTZMq4fz|"&amp;G82&amp;"|"&amp;B82&amp;"."&amp;C82</f>
        <v>IF|F9CrPrvrtb1.VxdyTZMq4fz|Regional|sqSuC1ehij1.F9CrPrvrtb1</v>
      </c>
      <c r="E82" s="7"/>
      <c r="F82" s="7"/>
      <c r="G82" s="7" t="s">
        <v>775</v>
      </c>
      <c r="H82" s="8" t="s">
        <v>739</v>
      </c>
      <c r="I82" s="8" t="s">
        <v>740</v>
      </c>
    </row>
    <row r="83" customFormat="false" ht="14.25" hidden="false" customHeight="true" outlineLevel="0" collapsed="false">
      <c r="A83" s="8" t="str">
        <f aca="false">G83&amp;" - "&amp;I83</f>
        <v>Regional - Date du PCR</v>
      </c>
      <c r="B83" s="8" t="s">
        <v>647</v>
      </c>
      <c r="C83" s="8" t="s">
        <v>30</v>
      </c>
      <c r="D83" s="7" t="str">
        <f aca="false">"IF|F9CrPrvrtb1.VxdyTZMq4fz|"&amp;G83&amp;"|"&amp;B83&amp;"."&amp;C83</f>
        <v>IF|F9CrPrvrtb1.VxdyTZMq4fz|Regional|vbRIm76FqPH.F9CrPrvrtb1</v>
      </c>
      <c r="E83" s="7"/>
      <c r="F83" s="7"/>
      <c r="G83" s="7" t="s">
        <v>775</v>
      </c>
      <c r="H83" s="8" t="s">
        <v>741</v>
      </c>
      <c r="I83" s="8" t="s">
        <v>742</v>
      </c>
    </row>
    <row r="84" customFormat="false" ht="14.25" hidden="false" customHeight="true" outlineLevel="0" collapsed="false">
      <c r="A84" s="8" t="str">
        <f aca="false">G84&amp;" - "&amp;I84</f>
        <v>Regional - Résultat du PCR</v>
      </c>
      <c r="B84" s="8" t="s">
        <v>651</v>
      </c>
      <c r="C84" s="8" t="s">
        <v>30</v>
      </c>
      <c r="D84" s="7" t="str">
        <f aca="false">"IF|F9CrPrvrtb1.VxdyTZMq4fz|"&amp;G84&amp;"|"&amp;B84&amp;"."&amp;C84</f>
        <v>IF|F9CrPrvrtb1.VxdyTZMq4fz|Regional|VXC7HA1ypLa.F9CrPrvrtb1</v>
      </c>
      <c r="E84" s="7"/>
      <c r="F84" s="7" t="s">
        <v>734</v>
      </c>
      <c r="G84" s="7" t="s">
        <v>775</v>
      </c>
      <c r="H84" s="8" t="s">
        <v>743</v>
      </c>
      <c r="I84" s="8" t="s">
        <v>744</v>
      </c>
    </row>
    <row r="85" customFormat="false" ht="14.25" hidden="false" customHeight="true" outlineLevel="0" collapsed="false">
      <c r="A85" s="8" t="str">
        <f aca="false">G85&amp;" - "&amp;I85</f>
        <v>Regional - Etat frais</v>
      </c>
      <c r="B85" s="8" t="s">
        <v>575</v>
      </c>
      <c r="C85" s="8" t="s">
        <v>30</v>
      </c>
      <c r="D85" s="7" t="str">
        <f aca="false">"IF|F9CrPrvrtb1.VxdyTZMq4fz|"&amp;G85&amp;"|"&amp;B85&amp;"."&amp;C85</f>
        <v>IF|F9CrPrvrtb1.VxdyTZMq4fz|Regional|juvZrUT1h3P.F9CrPrvrtb1</v>
      </c>
      <c r="E85" s="7"/>
      <c r="F85" s="7"/>
      <c r="G85" s="7" t="s">
        <v>775</v>
      </c>
      <c r="H85" s="8" t="s">
        <v>745</v>
      </c>
      <c r="I85" s="8" t="s">
        <v>746</v>
      </c>
    </row>
    <row r="86" customFormat="false" ht="14.25" hidden="false" customHeight="true" outlineLevel="0" collapsed="false">
      <c r="A86" s="8" t="str">
        <f aca="false">G86&amp;" - "&amp;I86</f>
        <v>Regional - LYMPH(%)</v>
      </c>
      <c r="B86" s="8" t="s">
        <v>531</v>
      </c>
      <c r="C86" s="8" t="s">
        <v>30</v>
      </c>
      <c r="D86" s="7" t="str">
        <f aca="false">"IF|F9CrPrvrtb1.VxdyTZMq4fz|"&amp;G86&amp;"|"&amp;B86&amp;"."&amp;C86</f>
        <v>IF|F9CrPrvrtb1.VxdyTZMq4fz|Regional|fw1kz1gpanC.F9CrPrvrtb1</v>
      </c>
      <c r="E86" s="7"/>
      <c r="F86" s="7"/>
      <c r="G86" s="7" t="s">
        <v>775</v>
      </c>
      <c r="H86" s="8" t="s">
        <v>747</v>
      </c>
      <c r="I86" s="8" t="s">
        <v>748</v>
      </c>
    </row>
    <row r="87" customFormat="false" ht="14.25" hidden="false" customHeight="true" outlineLevel="0" collapsed="false">
      <c r="A87" s="8" t="str">
        <f aca="false">G87&amp;" - "&amp;I87</f>
        <v>Regional - PN(%)</v>
      </c>
      <c r="B87" s="8" t="s">
        <v>657</v>
      </c>
      <c r="C87" s="8" t="s">
        <v>30</v>
      </c>
      <c r="D87" s="7" t="str">
        <f aca="false">"IF|F9CrPrvrtb1.VxdyTZMq4fz|"&amp;G87&amp;"|"&amp;B87&amp;"."&amp;C87</f>
        <v>IF|F9CrPrvrtb1.VxdyTZMq4fz|Regional|WFrppPdafQl.F9CrPrvrtb1</v>
      </c>
      <c r="E87" s="7"/>
      <c r="F87" s="7"/>
      <c r="G87" s="7" t="s">
        <v>775</v>
      </c>
      <c r="H87" s="8" t="s">
        <v>749</v>
      </c>
      <c r="I87" s="8" t="s">
        <v>750</v>
      </c>
    </row>
    <row r="88" customFormat="false" ht="14.25" hidden="false" customHeight="true" outlineLevel="0" collapsed="false">
      <c r="A88" s="8" t="str">
        <f aca="false">G88&amp;" - "&amp;I88</f>
        <v>Regional - Sensibilité à la pénicilline</v>
      </c>
      <c r="B88" s="8" t="s">
        <v>29</v>
      </c>
      <c r="C88" s="8" t="s">
        <v>30</v>
      </c>
      <c r="D88" s="7" t="str">
        <f aca="false">"IF|F9CrPrvrtb1.VxdyTZMq4fz|"&amp;G88&amp;"|"&amp;B88&amp;"."&amp;C88</f>
        <v>IF|F9CrPrvrtb1.VxdyTZMq4fz|Regional|JrIMAA2Ubbl.F9CrPrvrtb1</v>
      </c>
      <c r="E88" s="7"/>
      <c r="F88" s="7" t="s">
        <v>751</v>
      </c>
      <c r="G88" s="7" t="s">
        <v>775</v>
      </c>
      <c r="H88" s="8" t="s">
        <v>752</v>
      </c>
      <c r="I88" s="8" t="s">
        <v>60</v>
      </c>
    </row>
    <row r="89" customFormat="false" ht="14.25" hidden="false" customHeight="true" outlineLevel="0" collapsed="false">
      <c r="A89" s="8" t="str">
        <f aca="false">G89&amp;" - "&amp;I89</f>
        <v>Regional - Sensibilité à la ceftriaxone</v>
      </c>
      <c r="B89" s="8" t="s">
        <v>579</v>
      </c>
      <c r="C89" s="8" t="s">
        <v>30</v>
      </c>
      <c r="D89" s="7" t="str">
        <f aca="false">"IF|F9CrPrvrtb1.VxdyTZMq4fz|"&amp;G89&amp;"|"&amp;B89&amp;"."&amp;C89</f>
        <v>IF|F9CrPrvrtb1.VxdyTZMq4fz|Regional|jXANIQUFvqc.F9CrPrvrtb1</v>
      </c>
      <c r="E89" s="7"/>
      <c r="F89" s="7" t="s">
        <v>751</v>
      </c>
      <c r="G89" s="7" t="s">
        <v>775</v>
      </c>
      <c r="H89" s="8" t="s">
        <v>753</v>
      </c>
      <c r="I89" s="8" t="s">
        <v>754</v>
      </c>
    </row>
    <row r="90" customFormat="false" ht="14.25" hidden="false" customHeight="true" outlineLevel="0" collapsed="false">
      <c r="A90" s="8" t="str">
        <f aca="false">G90&amp;" - "&amp;I90</f>
        <v>Regional - Sensibilité à la ciprofloxacine</v>
      </c>
      <c r="B90" s="8" t="s">
        <v>509</v>
      </c>
      <c r="C90" s="8" t="s">
        <v>30</v>
      </c>
      <c r="D90" s="7" t="str">
        <f aca="false">"IF|F9CrPrvrtb1.VxdyTZMq4fz|"&amp;G90&amp;"|"&amp;B90&amp;"."&amp;C90</f>
        <v>IF|F9CrPrvrtb1.VxdyTZMq4fz|Regional|CAHdBvzG00V.F9CrPrvrtb1</v>
      </c>
      <c r="E90" s="7"/>
      <c r="F90" s="7" t="s">
        <v>751</v>
      </c>
      <c r="G90" s="7" t="s">
        <v>775</v>
      </c>
      <c r="H90" s="8" t="s">
        <v>755</v>
      </c>
      <c r="I90" s="8" t="s">
        <v>756</v>
      </c>
    </row>
    <row r="91" customFormat="false" ht="14.25" hidden="false" customHeight="true" outlineLevel="0" collapsed="false">
      <c r="A91" s="8" t="str">
        <f aca="false">G91&amp;" - "&amp;I91</f>
        <v>Regional - Sensibilité à l'oxacilline</v>
      </c>
      <c r="B91" s="8" t="s">
        <v>519</v>
      </c>
      <c r="C91" s="8" t="s">
        <v>30</v>
      </c>
      <c r="D91" s="7" t="str">
        <f aca="false">"IF|F9CrPrvrtb1.VxdyTZMq4fz|"&amp;G91&amp;"|"&amp;B91&amp;"."&amp;C91</f>
        <v>IF|F9CrPrvrtb1.VxdyTZMq4fz|Regional|E4SfiWAIaTR.F9CrPrvrtb1</v>
      </c>
      <c r="E91" s="7"/>
      <c r="F91" s="7" t="s">
        <v>751</v>
      </c>
      <c r="G91" s="7" t="s">
        <v>775</v>
      </c>
      <c r="H91" s="8" t="s">
        <v>757</v>
      </c>
      <c r="I91" s="8" t="s">
        <v>758</v>
      </c>
    </row>
    <row r="92" customFormat="false" ht="14.25" hidden="false" customHeight="true" outlineLevel="0" collapsed="false">
      <c r="A92" s="8" t="str">
        <f aca="false">G92&amp;" - "&amp;I92</f>
        <v>Regional - Autres antibiotiques testés</v>
      </c>
      <c r="B92" s="8" t="s">
        <v>497</v>
      </c>
      <c r="C92" s="8" t="s">
        <v>30</v>
      </c>
      <c r="D92" s="7" t="str">
        <f aca="false">"IF|F9CrPrvrtb1.VxdyTZMq4fz|"&amp;G92&amp;"|"&amp;B92&amp;"."&amp;C92</f>
        <v>IF|F9CrPrvrtb1.VxdyTZMq4fz|Regional|aWLt5NgPpr1.F9CrPrvrtb1</v>
      </c>
      <c r="E92" s="7"/>
      <c r="F92" s="7"/>
      <c r="G92" s="7" t="s">
        <v>775</v>
      </c>
      <c r="H92" s="8" t="s">
        <v>759</v>
      </c>
      <c r="I92" s="8" t="s">
        <v>760</v>
      </c>
    </row>
    <row r="93" customFormat="false" ht="14.25" hidden="false" customHeight="true" outlineLevel="0" collapsed="false">
      <c r="A93" s="8" t="str">
        <f aca="false">G93&amp;" - "&amp;I93</f>
        <v>Regional - résultat de l'analyse d'autres antibiotiques</v>
      </c>
      <c r="B93" s="8" t="s">
        <v>635</v>
      </c>
      <c r="C93" s="8" t="s">
        <v>30</v>
      </c>
      <c r="D93" s="7" t="str">
        <f aca="false">"IF|F9CrPrvrtb1.VxdyTZMq4fz|"&amp;G93&amp;"|"&amp;B93&amp;"."&amp;C93</f>
        <v>IF|F9CrPrvrtb1.VxdyTZMq4fz|Regional|TTZyNR1cSkI.F9CrPrvrtb1</v>
      </c>
      <c r="E93" s="7"/>
      <c r="F93" s="7" t="s">
        <v>751</v>
      </c>
      <c r="G93" s="7" t="s">
        <v>775</v>
      </c>
      <c r="H93" s="8" t="s">
        <v>761</v>
      </c>
      <c r="I93" s="8" t="s">
        <v>762</v>
      </c>
    </row>
    <row r="94" customFormat="false" ht="14.25" hidden="false" customHeight="true" outlineLevel="0" collapsed="false">
      <c r="A94" s="8" t="str">
        <f aca="false">G94&amp;" - "&amp;I94</f>
        <v>Regional - Autres résultats de tests</v>
      </c>
      <c r="B94" s="8" t="s">
        <v>559</v>
      </c>
      <c r="C94" s="8" t="s">
        <v>30</v>
      </c>
      <c r="D94" s="7" t="str">
        <f aca="false">"IF|F9CrPrvrtb1.VxdyTZMq4fz|"&amp;G94&amp;"|"&amp;B94&amp;"."&amp;C94</f>
        <v>IF|F9CrPrvrtb1.VxdyTZMq4fz|Regional|j8xNVOBsWMr.F9CrPrvrtb1</v>
      </c>
      <c r="E94" s="7"/>
      <c r="F94" s="7"/>
      <c r="G94" s="7" t="s">
        <v>775</v>
      </c>
      <c r="H94" s="8" t="s">
        <v>763</v>
      </c>
      <c r="I94" s="8" t="s">
        <v>764</v>
      </c>
    </row>
    <row r="95" customFormat="false" ht="14.25" hidden="false" customHeight="true" outlineLevel="0" collapsed="false">
      <c r="A95" s="8" t="str">
        <f aca="false">G95&amp;" - "&amp;I95</f>
        <v>Regional - Résultat final du laboratoire</v>
      </c>
      <c r="B95" s="8" t="s">
        <v>505</v>
      </c>
      <c r="C95" s="8" t="s">
        <v>30</v>
      </c>
      <c r="D95" s="7" t="str">
        <f aca="false">"IF|F9CrPrvrtb1.VxdyTZMq4fz|"&amp;G95&amp;"|"&amp;B95&amp;"."&amp;C95</f>
        <v>IF|F9CrPrvrtb1.VxdyTZMq4fz|Regional|bX9jmncMHLC.F9CrPrvrtb1</v>
      </c>
      <c r="E95" s="7"/>
      <c r="F95" s="7" t="s">
        <v>765</v>
      </c>
      <c r="G95" s="7" t="s">
        <v>775</v>
      </c>
      <c r="H95" s="8" t="s">
        <v>766</v>
      </c>
      <c r="I95" s="8" t="s">
        <v>767</v>
      </c>
    </row>
    <row r="96" customFormat="false" ht="14.25" hidden="false" customHeight="true" outlineLevel="0" collapsed="false">
      <c r="A96" s="8" t="str">
        <f aca="false">G96&amp;" - "&amp;I96</f>
        <v>Regional - sérotype S. pneumoniae</v>
      </c>
      <c r="B96" s="8" t="s">
        <v>545</v>
      </c>
      <c r="C96" s="8" t="s">
        <v>30</v>
      </c>
      <c r="D96" s="7" t="str">
        <f aca="false">"IF|F9CrPrvrtb1.VxdyTZMq4fz|"&amp;G96&amp;"|"&amp;B96&amp;"."&amp;C96</f>
        <v>IF|F9CrPrvrtb1.VxdyTZMq4fz|Regional|HoNyj7eawmh.F9CrPrvrtb1</v>
      </c>
      <c r="E96" s="7"/>
      <c r="F96" s="7" t="s">
        <v>768</v>
      </c>
      <c r="G96" s="7" t="s">
        <v>775</v>
      </c>
      <c r="H96" s="8" t="s">
        <v>769</v>
      </c>
      <c r="I96" s="8" t="s">
        <v>770</v>
      </c>
    </row>
    <row r="97" customFormat="false" ht="14.25" hidden="false" customHeight="true" outlineLevel="0" collapsed="false">
      <c r="A97" s="8" t="str">
        <f aca="false">G97&amp;" - "&amp;I97</f>
        <v>Regional - Date d'envoi des résultats finaux du laboratoire au ministère de la santé</v>
      </c>
      <c r="B97" s="8" t="s">
        <v>627</v>
      </c>
      <c r="C97" s="8" t="s">
        <v>30</v>
      </c>
      <c r="D97" s="7" t="str">
        <f aca="false">"IF|F9CrPrvrtb1.VxdyTZMq4fz|"&amp;G97&amp;"|"&amp;B97&amp;"."&amp;C97</f>
        <v>IF|F9CrPrvrtb1.VxdyTZMq4fz|Regional|sBqrtlW8hGb.F9CrPrvrtb1</v>
      </c>
      <c r="E97" s="7"/>
      <c r="F97" s="7"/>
      <c r="G97" s="7" t="s">
        <v>775</v>
      </c>
      <c r="H97" s="8" t="s">
        <v>771</v>
      </c>
      <c r="I97" s="8" t="s">
        <v>772</v>
      </c>
    </row>
    <row r="98" customFormat="false" ht="14.25" hidden="false" customHeight="true" outlineLevel="0" collapsed="false">
      <c r="A98" s="8" t="str">
        <f aca="false">G98&amp;" - "&amp;I98</f>
        <v>Regional - Date d'envoi des résultats finaux du laboratoire au district</v>
      </c>
      <c r="B98" s="8" t="s">
        <v>643</v>
      </c>
      <c r="C98" s="8" t="s">
        <v>30</v>
      </c>
      <c r="D98" s="7" t="str">
        <f aca="false">"IF|F9CrPrvrtb1.VxdyTZMq4fz|"&amp;G98&amp;"|"&amp;B98&amp;"."&amp;C98</f>
        <v>IF|F9CrPrvrtb1.VxdyTZMq4fz|Regional|UZJj6L9XCd8.F9CrPrvrtb1</v>
      </c>
      <c r="E98" s="7"/>
      <c r="F98" s="7"/>
      <c r="G98" s="7" t="s">
        <v>775</v>
      </c>
      <c r="H98" s="8" t="s">
        <v>773</v>
      </c>
      <c r="I98" s="8" t="s">
        <v>774</v>
      </c>
    </row>
    <row r="99" customFormat="false" ht="14.25" hidden="false" customHeight="true" outlineLevel="0" collapsed="false">
      <c r="A99" s="9" t="str">
        <f aca="false">G99&amp;" - "&amp;I99</f>
        <v>National - Date de réception de l'échantillon</v>
      </c>
      <c r="B99" s="9" t="s">
        <v>603</v>
      </c>
      <c r="C99" s="9" t="s">
        <v>30</v>
      </c>
      <c r="D99" s="7" t="str">
        <f aca="false">"IF|F9CrPrvrtb1.VxdyTZMq4fz|"&amp;G99&amp;"|"&amp;B99&amp;"."&amp;C99</f>
        <v>IF|F9CrPrvrtb1.VxdyTZMq4fz|National|o59BSUIg0Q5.F9CrPrvrtb1</v>
      </c>
      <c r="E99" s="7"/>
      <c r="F99" s="7"/>
      <c r="G99" s="7" t="s">
        <v>305</v>
      </c>
      <c r="H99" s="9" t="s">
        <v>713</v>
      </c>
      <c r="I99" s="9" t="s">
        <v>714</v>
      </c>
    </row>
    <row r="100" customFormat="false" ht="14.25" hidden="false" customHeight="true" outlineLevel="0" collapsed="false">
      <c r="A100" s="9" t="str">
        <f aca="false">G100&amp;" - "&amp;I100</f>
        <v>National - Identification du laboratoire</v>
      </c>
      <c r="B100" s="9" t="s">
        <v>525</v>
      </c>
      <c r="C100" s="9" t="s">
        <v>30</v>
      </c>
      <c r="D100" s="7" t="str">
        <f aca="false">"IF|F9CrPrvrtb1.VxdyTZMq4fz|"&amp;G100&amp;"|"&amp;B100&amp;"."&amp;C100</f>
        <v>IF|F9CrPrvrtb1.VxdyTZMq4fz|National|fhS3GrGepCn.F9CrPrvrtb1</v>
      </c>
      <c r="E100" s="7"/>
      <c r="F100" s="7"/>
      <c r="G100" s="7" t="s">
        <v>305</v>
      </c>
      <c r="H100" s="9" t="s">
        <v>715</v>
      </c>
      <c r="I100" s="9" t="s">
        <v>716</v>
      </c>
    </row>
    <row r="101" customFormat="false" ht="14.25" hidden="false" customHeight="true" outlineLevel="0" collapsed="false">
      <c r="A101" s="9" t="str">
        <f aca="false">G101&amp;" - "&amp;I101</f>
        <v>National - Nom du laboratoire</v>
      </c>
      <c r="B101" s="9" t="s">
        <v>541</v>
      </c>
      <c r="C101" s="9" t="s">
        <v>30</v>
      </c>
      <c r="D101" s="7" t="str">
        <f aca="false">"IF|F9CrPrvrtb1.VxdyTZMq4fz|"&amp;G101&amp;"|"&amp;B101&amp;"."&amp;C101</f>
        <v>IF|F9CrPrvrtb1.VxdyTZMq4fz|National|hN5qrbGeYnF.F9CrPrvrtb1</v>
      </c>
      <c r="E101" s="7"/>
      <c r="F101" s="7" t="s">
        <v>717</v>
      </c>
      <c r="G101" s="7" t="s">
        <v>305</v>
      </c>
      <c r="H101" s="9" t="s">
        <v>718</v>
      </c>
      <c r="I101" s="9" t="s">
        <v>719</v>
      </c>
    </row>
    <row r="102" customFormat="false" ht="14.25" hidden="false" customHeight="true" outlineLevel="0" collapsed="false">
      <c r="A102" s="9" t="str">
        <f aca="false">G102&amp;" - "&amp;I102</f>
        <v>National - État de l'échantillon</v>
      </c>
      <c r="B102" s="9" t="s">
        <v>585</v>
      </c>
      <c r="C102" s="9" t="s">
        <v>30</v>
      </c>
      <c r="D102" s="7" t="str">
        <f aca="false">"IF|F9CrPrvrtb1.VxdyTZMq4fz|"&amp;G102&amp;"|"&amp;B102&amp;"."&amp;C102</f>
        <v>IF|F9CrPrvrtb1.VxdyTZMq4fz|National|kBBrPq9mMEw.F9CrPrvrtb1</v>
      </c>
      <c r="E102" s="7"/>
      <c r="F102" s="7" t="s">
        <v>720</v>
      </c>
      <c r="G102" s="7" t="s">
        <v>305</v>
      </c>
      <c r="H102" s="9" t="s">
        <v>721</v>
      </c>
      <c r="I102" s="9" t="s">
        <v>722</v>
      </c>
    </row>
    <row r="103" customFormat="false" ht="14.25" hidden="false" customHeight="true" outlineLevel="0" collapsed="false">
      <c r="A103" s="9" t="str">
        <f aca="false">G103&amp;" - "&amp;I103</f>
        <v>National - Aspect de l'échantillon / examen macroscopique (LCR)</v>
      </c>
      <c r="B103" s="9" t="s">
        <v>595</v>
      </c>
      <c r="C103" s="9" t="s">
        <v>30</v>
      </c>
      <c r="D103" s="7" t="str">
        <f aca="false">"IF|F9CrPrvrtb1.VxdyTZMq4fz|"&amp;G103&amp;"|"&amp;B103&amp;"."&amp;C103</f>
        <v>IF|F9CrPrvrtb1.VxdyTZMq4fz|National|LjgDKL4jm5K.F9CrPrvrtb1</v>
      </c>
      <c r="E103" s="7"/>
      <c r="F103" s="7" t="s">
        <v>723</v>
      </c>
      <c r="G103" s="7" t="s">
        <v>305</v>
      </c>
      <c r="H103" s="9" t="s">
        <v>724</v>
      </c>
      <c r="I103" s="9" t="s">
        <v>725</v>
      </c>
    </row>
    <row r="104" customFormat="false" ht="14.25" hidden="false" customHeight="true" outlineLevel="0" collapsed="false">
      <c r="A104" s="9" t="str">
        <f aca="false">G104&amp;" - "&amp;I104</f>
        <v>National - Résultat de la coloration de Gram</v>
      </c>
      <c r="B104" s="9" t="s">
        <v>571</v>
      </c>
      <c r="C104" s="9" t="s">
        <v>30</v>
      </c>
      <c r="D104" s="7" t="str">
        <f aca="false">"IF|F9CrPrvrtb1.VxdyTZMq4fz|"&amp;G104&amp;"|"&amp;B104&amp;"."&amp;C104</f>
        <v>IF|F9CrPrvrtb1.VxdyTZMq4fz|National|jo9nGjYxvxJ.F9CrPrvrtb1</v>
      </c>
      <c r="E104" s="7"/>
      <c r="F104" s="7" t="s">
        <v>726</v>
      </c>
      <c r="G104" s="7" t="s">
        <v>305</v>
      </c>
      <c r="H104" s="9" t="s">
        <v>727</v>
      </c>
      <c r="I104" s="9" t="s">
        <v>728</v>
      </c>
    </row>
    <row r="105" customFormat="false" ht="14.25" hidden="false" customHeight="true" outlineLevel="0" collapsed="false">
      <c r="A105" s="9" t="str">
        <f aca="false">G105&amp;" - "&amp;I105</f>
        <v>National - Résultat de l'agglutination du latex</v>
      </c>
      <c r="B105" s="9" t="s">
        <v>551</v>
      </c>
      <c r="C105" s="9" t="s">
        <v>30</v>
      </c>
      <c r="D105" s="7" t="str">
        <f aca="false">"IF|F9CrPrvrtb1.VxdyTZMq4fz|"&amp;G105&amp;"|"&amp;B105&amp;"."&amp;C105</f>
        <v>IF|F9CrPrvrtb1.VxdyTZMq4fz|National|IiInVS6fKH3.F9CrPrvrtb1</v>
      </c>
      <c r="E105" s="7"/>
      <c r="F105" s="7" t="s">
        <v>729</v>
      </c>
      <c r="G105" s="7" t="s">
        <v>305</v>
      </c>
      <c r="H105" s="9" t="s">
        <v>730</v>
      </c>
      <c r="I105" s="9" t="s">
        <v>731</v>
      </c>
    </row>
    <row r="106" customFormat="false" ht="14.25" hidden="false" customHeight="true" outlineLevel="0" collapsed="false">
      <c r="A106" s="9" t="str">
        <f aca="false">G106&amp;" - "&amp;I106</f>
        <v>National - test TDR utilisé (préciser)</v>
      </c>
      <c r="B106" s="9" t="s">
        <v>567</v>
      </c>
      <c r="C106" s="9" t="s">
        <v>30</v>
      </c>
      <c r="D106" s="7" t="str">
        <f aca="false">"IF|F9CrPrvrtb1.VxdyTZMq4fz|"&amp;G106&amp;"|"&amp;B106&amp;"."&amp;C106</f>
        <v>IF|F9CrPrvrtb1.VxdyTZMq4fz|National|jG9A796Xvo8.F9CrPrvrtb1</v>
      </c>
      <c r="E106" s="7"/>
      <c r="F106" s="7"/>
      <c r="G106" s="7" t="s">
        <v>305</v>
      </c>
      <c r="H106" s="9" t="s">
        <v>732</v>
      </c>
      <c r="I106" s="9" t="s">
        <v>733</v>
      </c>
    </row>
    <row r="107" customFormat="false" ht="14.25" hidden="false" customHeight="true" outlineLevel="0" collapsed="false">
      <c r="A107" s="9" t="str">
        <f aca="false">G107&amp;" - "&amp;I107</f>
        <v>National - Résultat du TDR</v>
      </c>
      <c r="B107" s="9" t="s">
        <v>563</v>
      </c>
      <c r="C107" s="9" t="s">
        <v>30</v>
      </c>
      <c r="D107" s="7" t="str">
        <f aca="false">"IF|F9CrPrvrtb1.VxdyTZMq4fz|"&amp;G107&amp;"|"&amp;B107&amp;"."&amp;C107</f>
        <v>IF|F9CrPrvrtb1.VxdyTZMq4fz|National|jC5HBD3N2h5.F9CrPrvrtb1</v>
      </c>
      <c r="E107" s="7"/>
      <c r="F107" s="7" t="s">
        <v>734</v>
      </c>
      <c r="G107" s="7" t="s">
        <v>305</v>
      </c>
      <c r="H107" s="9" t="s">
        <v>735</v>
      </c>
      <c r="I107" s="9" t="s">
        <v>736</v>
      </c>
    </row>
    <row r="108" customFormat="false" ht="14.25" hidden="false" customHeight="true" outlineLevel="0" collapsed="false">
      <c r="A108" s="9" t="str">
        <f aca="false">G108&amp;" - "&amp;I108</f>
        <v>National - Résultat de la culture </v>
      </c>
      <c r="B108" s="9" t="s">
        <v>515</v>
      </c>
      <c r="C108" s="9" t="s">
        <v>30</v>
      </c>
      <c r="D108" s="7" t="str">
        <f aca="false">"IF|F9CrPrvrtb1.VxdyTZMq4fz|"&amp;G108&amp;"|"&amp;B108&amp;"."&amp;C108</f>
        <v>IF|F9CrPrvrtb1.VxdyTZMq4fz|National|dYZ8yAOfGfN.F9CrPrvrtb1</v>
      </c>
      <c r="E108" s="7"/>
      <c r="F108" s="7" t="s">
        <v>734</v>
      </c>
      <c r="G108" s="7" t="s">
        <v>305</v>
      </c>
      <c r="H108" s="9" t="s">
        <v>737</v>
      </c>
      <c r="I108" s="9" t="s">
        <v>738</v>
      </c>
    </row>
    <row r="109" customFormat="false" ht="14.25" hidden="false" customHeight="true" outlineLevel="0" collapsed="false">
      <c r="A109" s="9" t="str">
        <f aca="false">G109&amp;" - "&amp;I109</f>
        <v>National - Numération des globules blancs</v>
      </c>
      <c r="B109" s="9" t="s">
        <v>631</v>
      </c>
      <c r="C109" s="9" t="s">
        <v>30</v>
      </c>
      <c r="D109" s="7" t="str">
        <f aca="false">"IF|F9CrPrvrtb1.VxdyTZMq4fz|"&amp;G109&amp;"|"&amp;B109&amp;"."&amp;C109</f>
        <v>IF|F9CrPrvrtb1.VxdyTZMq4fz|National|sqSuC1ehij1.F9CrPrvrtb1</v>
      </c>
      <c r="E109" s="7"/>
      <c r="F109" s="7"/>
      <c r="G109" s="7" t="s">
        <v>305</v>
      </c>
      <c r="H109" s="9" t="s">
        <v>739</v>
      </c>
      <c r="I109" s="9" t="s">
        <v>740</v>
      </c>
    </row>
    <row r="110" customFormat="false" ht="14.25" hidden="false" customHeight="true" outlineLevel="0" collapsed="false">
      <c r="A110" s="9" t="str">
        <f aca="false">G110&amp;" - "&amp;I110</f>
        <v>National - Date du PCR</v>
      </c>
      <c r="B110" s="9" t="s">
        <v>647</v>
      </c>
      <c r="C110" s="9" t="s">
        <v>30</v>
      </c>
      <c r="D110" s="7" t="str">
        <f aca="false">"IF|F9CrPrvrtb1.VxdyTZMq4fz|"&amp;G110&amp;"|"&amp;B110&amp;"."&amp;C110</f>
        <v>IF|F9CrPrvrtb1.VxdyTZMq4fz|National|vbRIm76FqPH.F9CrPrvrtb1</v>
      </c>
      <c r="E110" s="7"/>
      <c r="F110" s="7"/>
      <c r="G110" s="7" t="s">
        <v>305</v>
      </c>
      <c r="H110" s="9" t="s">
        <v>741</v>
      </c>
      <c r="I110" s="9" t="s">
        <v>742</v>
      </c>
    </row>
    <row r="111" customFormat="false" ht="14.25" hidden="false" customHeight="true" outlineLevel="0" collapsed="false">
      <c r="A111" s="9" t="str">
        <f aca="false">G111&amp;" - "&amp;I111</f>
        <v>National - Résultat du PCR</v>
      </c>
      <c r="B111" s="9" t="s">
        <v>651</v>
      </c>
      <c r="C111" s="9" t="s">
        <v>30</v>
      </c>
      <c r="D111" s="7" t="str">
        <f aca="false">"IF|F9CrPrvrtb1.VxdyTZMq4fz|"&amp;G111&amp;"|"&amp;B111&amp;"."&amp;C111</f>
        <v>IF|F9CrPrvrtb1.VxdyTZMq4fz|National|VXC7HA1ypLa.F9CrPrvrtb1</v>
      </c>
      <c r="E111" s="7"/>
      <c r="F111" s="7" t="s">
        <v>734</v>
      </c>
      <c r="G111" s="7" t="s">
        <v>305</v>
      </c>
      <c r="H111" s="9" t="s">
        <v>743</v>
      </c>
      <c r="I111" s="9" t="s">
        <v>744</v>
      </c>
    </row>
    <row r="112" customFormat="false" ht="14.25" hidden="false" customHeight="true" outlineLevel="0" collapsed="false">
      <c r="A112" s="9" t="str">
        <f aca="false">G112&amp;" - "&amp;I112</f>
        <v>National - Etat frais</v>
      </c>
      <c r="B112" s="9" t="s">
        <v>575</v>
      </c>
      <c r="C112" s="9" t="s">
        <v>30</v>
      </c>
      <c r="D112" s="7" t="str">
        <f aca="false">"IF|F9CrPrvrtb1.VxdyTZMq4fz|"&amp;G112&amp;"|"&amp;B112&amp;"."&amp;C112</f>
        <v>IF|F9CrPrvrtb1.VxdyTZMq4fz|National|juvZrUT1h3P.F9CrPrvrtb1</v>
      </c>
      <c r="E112" s="7"/>
      <c r="F112" s="7"/>
      <c r="G112" s="7" t="s">
        <v>305</v>
      </c>
      <c r="H112" s="9" t="s">
        <v>745</v>
      </c>
      <c r="I112" s="9" t="s">
        <v>746</v>
      </c>
    </row>
    <row r="113" customFormat="false" ht="14.25" hidden="false" customHeight="true" outlineLevel="0" collapsed="false">
      <c r="A113" s="9" t="str">
        <f aca="false">G113&amp;" - "&amp;I113</f>
        <v>National - LYMPH(%)</v>
      </c>
      <c r="B113" s="9" t="s">
        <v>531</v>
      </c>
      <c r="C113" s="9" t="s">
        <v>30</v>
      </c>
      <c r="D113" s="7" t="str">
        <f aca="false">"IF|F9CrPrvrtb1.VxdyTZMq4fz|"&amp;G113&amp;"|"&amp;B113&amp;"."&amp;C113</f>
        <v>IF|F9CrPrvrtb1.VxdyTZMq4fz|National|fw1kz1gpanC.F9CrPrvrtb1</v>
      </c>
      <c r="E113" s="7"/>
      <c r="F113" s="7"/>
      <c r="G113" s="7" t="s">
        <v>305</v>
      </c>
      <c r="H113" s="9" t="s">
        <v>747</v>
      </c>
      <c r="I113" s="9" t="s">
        <v>748</v>
      </c>
    </row>
    <row r="114" customFormat="false" ht="14.25" hidden="false" customHeight="true" outlineLevel="0" collapsed="false">
      <c r="A114" s="9" t="str">
        <f aca="false">G114&amp;" - "&amp;I114</f>
        <v>National - PN(%)</v>
      </c>
      <c r="B114" s="9" t="s">
        <v>657</v>
      </c>
      <c r="C114" s="9" t="s">
        <v>30</v>
      </c>
      <c r="D114" s="7" t="str">
        <f aca="false">"IF|F9CrPrvrtb1.VxdyTZMq4fz|"&amp;G114&amp;"|"&amp;B114&amp;"."&amp;C114</f>
        <v>IF|F9CrPrvrtb1.VxdyTZMq4fz|National|WFrppPdafQl.F9CrPrvrtb1</v>
      </c>
      <c r="E114" s="7"/>
      <c r="F114" s="7"/>
      <c r="G114" s="7" t="s">
        <v>305</v>
      </c>
      <c r="H114" s="9" t="s">
        <v>749</v>
      </c>
      <c r="I114" s="9" t="s">
        <v>750</v>
      </c>
    </row>
    <row r="115" customFormat="false" ht="14.25" hidden="false" customHeight="true" outlineLevel="0" collapsed="false">
      <c r="A115" s="9" t="str">
        <f aca="false">G115&amp;" - "&amp;I115</f>
        <v>National - Sensibilité à la pénicilline</v>
      </c>
      <c r="B115" s="9" t="s">
        <v>29</v>
      </c>
      <c r="C115" s="9" t="s">
        <v>30</v>
      </c>
      <c r="D115" s="7" t="str">
        <f aca="false">"IF|F9CrPrvrtb1.VxdyTZMq4fz|"&amp;G115&amp;"|"&amp;B115&amp;"."&amp;C115</f>
        <v>IF|F9CrPrvrtb1.VxdyTZMq4fz|National|JrIMAA2Ubbl.F9CrPrvrtb1</v>
      </c>
      <c r="E115" s="7"/>
      <c r="F115" s="7" t="s">
        <v>751</v>
      </c>
      <c r="G115" s="7" t="s">
        <v>305</v>
      </c>
      <c r="H115" s="9" t="s">
        <v>752</v>
      </c>
      <c r="I115" s="9" t="s">
        <v>60</v>
      </c>
    </row>
    <row r="116" customFormat="false" ht="14.25" hidden="false" customHeight="true" outlineLevel="0" collapsed="false">
      <c r="A116" s="9" t="str">
        <f aca="false">G116&amp;" - "&amp;I116</f>
        <v>National - Sensibilité à la ceftriaxone</v>
      </c>
      <c r="B116" s="9" t="s">
        <v>579</v>
      </c>
      <c r="C116" s="9" t="s">
        <v>30</v>
      </c>
      <c r="D116" s="7" t="str">
        <f aca="false">"IF|F9CrPrvrtb1.VxdyTZMq4fz|"&amp;G116&amp;"|"&amp;B116&amp;"."&amp;C116</f>
        <v>IF|F9CrPrvrtb1.VxdyTZMq4fz|National|jXANIQUFvqc.F9CrPrvrtb1</v>
      </c>
      <c r="E116" s="7"/>
      <c r="F116" s="7" t="s">
        <v>751</v>
      </c>
      <c r="G116" s="7" t="s">
        <v>305</v>
      </c>
      <c r="H116" s="9" t="s">
        <v>753</v>
      </c>
      <c r="I116" s="9" t="s">
        <v>754</v>
      </c>
    </row>
    <row r="117" customFormat="false" ht="14.25" hidden="false" customHeight="true" outlineLevel="0" collapsed="false">
      <c r="A117" s="9" t="str">
        <f aca="false">G117&amp;" - "&amp;I117</f>
        <v>National - Sensibilité à la ciprofloxacine</v>
      </c>
      <c r="B117" s="9" t="s">
        <v>509</v>
      </c>
      <c r="C117" s="9" t="s">
        <v>30</v>
      </c>
      <c r="D117" s="7" t="str">
        <f aca="false">"IF|F9CrPrvrtb1.VxdyTZMq4fz|"&amp;G117&amp;"|"&amp;B117&amp;"."&amp;C117</f>
        <v>IF|F9CrPrvrtb1.VxdyTZMq4fz|National|CAHdBvzG00V.F9CrPrvrtb1</v>
      </c>
      <c r="E117" s="7"/>
      <c r="F117" s="7" t="s">
        <v>751</v>
      </c>
      <c r="G117" s="7" t="s">
        <v>305</v>
      </c>
      <c r="H117" s="9" t="s">
        <v>755</v>
      </c>
      <c r="I117" s="9" t="s">
        <v>756</v>
      </c>
    </row>
    <row r="118" customFormat="false" ht="14.25" hidden="false" customHeight="true" outlineLevel="0" collapsed="false">
      <c r="A118" s="9" t="str">
        <f aca="false">G118&amp;" - "&amp;I118</f>
        <v>National - Sensibilité à l'oxacilline</v>
      </c>
      <c r="B118" s="9" t="s">
        <v>519</v>
      </c>
      <c r="C118" s="9" t="s">
        <v>30</v>
      </c>
      <c r="D118" s="7" t="str">
        <f aca="false">"IF|F9CrPrvrtb1.VxdyTZMq4fz|"&amp;G118&amp;"|"&amp;B118&amp;"."&amp;C118</f>
        <v>IF|F9CrPrvrtb1.VxdyTZMq4fz|National|E4SfiWAIaTR.F9CrPrvrtb1</v>
      </c>
      <c r="E118" s="7"/>
      <c r="F118" s="7" t="s">
        <v>751</v>
      </c>
      <c r="G118" s="7" t="s">
        <v>305</v>
      </c>
      <c r="H118" s="9" t="s">
        <v>757</v>
      </c>
      <c r="I118" s="9" t="s">
        <v>758</v>
      </c>
    </row>
    <row r="119" customFormat="false" ht="14.25" hidden="false" customHeight="true" outlineLevel="0" collapsed="false">
      <c r="A119" s="9" t="str">
        <f aca="false">G119&amp;" - "&amp;I119</f>
        <v>National - Autres antibiotiques testés</v>
      </c>
      <c r="B119" s="9" t="s">
        <v>497</v>
      </c>
      <c r="C119" s="9" t="s">
        <v>30</v>
      </c>
      <c r="D119" s="7" t="str">
        <f aca="false">"IF|F9CrPrvrtb1.VxdyTZMq4fz|"&amp;G119&amp;"|"&amp;B119&amp;"."&amp;C119</f>
        <v>IF|F9CrPrvrtb1.VxdyTZMq4fz|National|aWLt5NgPpr1.F9CrPrvrtb1</v>
      </c>
      <c r="E119" s="7"/>
      <c r="F119" s="7"/>
      <c r="G119" s="7" t="s">
        <v>305</v>
      </c>
      <c r="H119" s="9" t="s">
        <v>759</v>
      </c>
      <c r="I119" s="9" t="s">
        <v>760</v>
      </c>
    </row>
    <row r="120" customFormat="false" ht="14.25" hidden="false" customHeight="true" outlineLevel="0" collapsed="false">
      <c r="A120" s="9" t="str">
        <f aca="false">G120&amp;" - "&amp;I120</f>
        <v>National - résultat de l'analyse d'autres antibiotiques</v>
      </c>
      <c r="B120" s="9" t="s">
        <v>635</v>
      </c>
      <c r="C120" s="9" t="s">
        <v>30</v>
      </c>
      <c r="D120" s="7" t="str">
        <f aca="false">"IF|F9CrPrvrtb1.VxdyTZMq4fz|"&amp;G120&amp;"|"&amp;B120&amp;"."&amp;C120</f>
        <v>IF|F9CrPrvrtb1.VxdyTZMq4fz|National|TTZyNR1cSkI.F9CrPrvrtb1</v>
      </c>
      <c r="E120" s="7"/>
      <c r="F120" s="7" t="s">
        <v>751</v>
      </c>
      <c r="G120" s="7" t="s">
        <v>305</v>
      </c>
      <c r="H120" s="9" t="s">
        <v>761</v>
      </c>
      <c r="I120" s="9" t="s">
        <v>762</v>
      </c>
    </row>
    <row r="121" customFormat="false" ht="14.25" hidden="false" customHeight="true" outlineLevel="0" collapsed="false">
      <c r="A121" s="9" t="str">
        <f aca="false">G121&amp;" - "&amp;I121</f>
        <v>National - Autres résultats de tests</v>
      </c>
      <c r="B121" s="9" t="s">
        <v>559</v>
      </c>
      <c r="C121" s="9" t="s">
        <v>30</v>
      </c>
      <c r="D121" s="7" t="str">
        <f aca="false">"IF|F9CrPrvrtb1.VxdyTZMq4fz|"&amp;G121&amp;"|"&amp;B121&amp;"."&amp;C121</f>
        <v>IF|F9CrPrvrtb1.VxdyTZMq4fz|National|j8xNVOBsWMr.F9CrPrvrtb1</v>
      </c>
      <c r="E121" s="7"/>
      <c r="F121" s="7"/>
      <c r="G121" s="7" t="s">
        <v>305</v>
      </c>
      <c r="H121" s="9" t="s">
        <v>763</v>
      </c>
      <c r="I121" s="9" t="s">
        <v>764</v>
      </c>
    </row>
    <row r="122" customFormat="false" ht="14.25" hidden="false" customHeight="true" outlineLevel="0" collapsed="false">
      <c r="A122" s="9" t="str">
        <f aca="false">G122&amp;" - "&amp;I122</f>
        <v>National - Résultat final du laboratoire</v>
      </c>
      <c r="B122" s="9" t="s">
        <v>505</v>
      </c>
      <c r="C122" s="9" t="s">
        <v>30</v>
      </c>
      <c r="D122" s="7" t="str">
        <f aca="false">"IF|F9CrPrvrtb1.VxdyTZMq4fz|"&amp;G122&amp;"|"&amp;B122&amp;"."&amp;C122</f>
        <v>IF|F9CrPrvrtb1.VxdyTZMq4fz|National|bX9jmncMHLC.F9CrPrvrtb1</v>
      </c>
      <c r="E122" s="7"/>
      <c r="F122" s="7" t="s">
        <v>765</v>
      </c>
      <c r="G122" s="7" t="s">
        <v>305</v>
      </c>
      <c r="H122" s="9" t="s">
        <v>766</v>
      </c>
      <c r="I122" s="9" t="s">
        <v>767</v>
      </c>
    </row>
    <row r="123" customFormat="false" ht="14.25" hidden="false" customHeight="true" outlineLevel="0" collapsed="false">
      <c r="A123" s="9" t="str">
        <f aca="false">G123&amp;" - "&amp;I123</f>
        <v>National - sérotype S. pneumoniae</v>
      </c>
      <c r="B123" s="9" t="s">
        <v>545</v>
      </c>
      <c r="C123" s="9" t="s">
        <v>30</v>
      </c>
      <c r="D123" s="7" t="str">
        <f aca="false">"IF|F9CrPrvrtb1.VxdyTZMq4fz|"&amp;G123&amp;"|"&amp;B123&amp;"."&amp;C123</f>
        <v>IF|F9CrPrvrtb1.VxdyTZMq4fz|National|HoNyj7eawmh.F9CrPrvrtb1</v>
      </c>
      <c r="E123" s="7"/>
      <c r="F123" s="7" t="s">
        <v>768</v>
      </c>
      <c r="G123" s="7" t="s">
        <v>305</v>
      </c>
      <c r="H123" s="9" t="s">
        <v>769</v>
      </c>
      <c r="I123" s="9" t="s">
        <v>770</v>
      </c>
    </row>
    <row r="124" customFormat="false" ht="14.25" hidden="false" customHeight="true" outlineLevel="0" collapsed="false">
      <c r="A124" s="9" t="str">
        <f aca="false">G124&amp;" - "&amp;I124</f>
        <v>National - Date d'envoi des résultats finaux du laboratoire au ministère de la santé</v>
      </c>
      <c r="B124" s="9" t="s">
        <v>627</v>
      </c>
      <c r="C124" s="9" t="s">
        <v>30</v>
      </c>
      <c r="D124" s="7" t="str">
        <f aca="false">"IF|F9CrPrvrtb1.VxdyTZMq4fz|"&amp;G124&amp;"|"&amp;B124&amp;"."&amp;C124</f>
        <v>IF|F9CrPrvrtb1.VxdyTZMq4fz|National|sBqrtlW8hGb.F9CrPrvrtb1</v>
      </c>
      <c r="E124" s="7"/>
      <c r="F124" s="7"/>
      <c r="G124" s="7" t="s">
        <v>305</v>
      </c>
      <c r="H124" s="9" t="s">
        <v>771</v>
      </c>
      <c r="I124" s="9" t="s">
        <v>772</v>
      </c>
    </row>
    <row r="125" customFormat="false" ht="14.25" hidden="false" customHeight="true" outlineLevel="0" collapsed="false">
      <c r="A125" s="9" t="str">
        <f aca="false">G125&amp;" - "&amp;I125</f>
        <v>National - Date d'envoi des résultats finaux du laboratoire au district</v>
      </c>
      <c r="B125" s="9" t="s">
        <v>643</v>
      </c>
      <c r="C125" s="9" t="s">
        <v>30</v>
      </c>
      <c r="D125" s="7" t="str">
        <f aca="false">"IF|F9CrPrvrtb1.VxdyTZMq4fz|"&amp;G125&amp;"|"&amp;B125&amp;"."&amp;C125</f>
        <v>IF|F9CrPrvrtb1.VxdyTZMq4fz|National|UZJj6L9XCd8.F9CrPrvrtb1</v>
      </c>
      <c r="E125" s="7"/>
      <c r="F125" s="7"/>
      <c r="G125" s="7" t="s">
        <v>305</v>
      </c>
      <c r="H125" s="9" t="s">
        <v>773</v>
      </c>
      <c r="I125" s="9" t="s">
        <v>774</v>
      </c>
    </row>
    <row r="126" customFormat="false" ht="14.25" hidden="false" customHeight="true" outlineLevel="0" collapsed="false">
      <c r="A126" s="7" t="str">
        <f aca="false">I126</f>
        <v>Classification finale</v>
      </c>
      <c r="B126" s="7" t="s">
        <v>776</v>
      </c>
      <c r="C126" s="7" t="s">
        <v>615</v>
      </c>
      <c r="D126" s="7"/>
      <c r="E126" s="7"/>
      <c r="F126" s="7" t="s">
        <v>777</v>
      </c>
      <c r="H126" s="7" t="s">
        <v>778</v>
      </c>
      <c r="I126" s="7" t="s">
        <v>616</v>
      </c>
    </row>
    <row r="127" customFormat="false" ht="14.25" hidden="false" customHeight="true" outlineLevel="0" collapsed="false">
      <c r="A127" s="7" t="str">
        <f aca="false">I127</f>
        <v>Devenir du patient</v>
      </c>
      <c r="B127" s="7" t="s">
        <v>503</v>
      </c>
      <c r="C127" s="7" t="s">
        <v>27</v>
      </c>
      <c r="D127" s="7"/>
      <c r="E127" s="7"/>
      <c r="F127" s="7" t="s">
        <v>779</v>
      </c>
      <c r="H127" s="7" t="s">
        <v>780</v>
      </c>
      <c r="I127" s="7" t="s">
        <v>504</v>
      </c>
    </row>
    <row r="128" customFormat="false" ht="14.25" hidden="false" customHeight="true" outlineLevel="0" collapsed="false">
      <c r="A128" s="7" t="str">
        <f aca="false">I128</f>
        <v>Devenir - Date</v>
      </c>
      <c r="B128" s="7" t="s">
        <v>523</v>
      </c>
      <c r="C128" s="7" t="s">
        <v>27</v>
      </c>
      <c r="D128" s="7"/>
      <c r="E128" s="7"/>
      <c r="F128" s="7"/>
      <c r="H128" s="7" t="s">
        <v>781</v>
      </c>
      <c r="I128" s="7" t="s">
        <v>524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F10" activeCellId="0" sqref="F10"/>
    </sheetView>
  </sheetViews>
  <sheetFormatPr defaultColWidth="14.5625" defaultRowHeight="14.25" zeroHeight="false" outlineLevelRow="0" outlineLevelCol="0"/>
  <cols>
    <col collapsed="false" customWidth="true" hidden="false" outlineLevel="0" max="1" min="1" style="20" width="19.88"/>
    <col collapsed="false" customWidth="false" hidden="false" outlineLevel="0" max="2" min="2" style="20" width="14.56"/>
    <col collapsed="false" customWidth="true" hidden="false" outlineLevel="0" max="3" min="3" style="20" width="19"/>
    <col collapsed="false" customWidth="false" hidden="false" outlineLevel="0" max="16384" min="4" style="20" width="14.56"/>
  </cols>
  <sheetData>
    <row r="1" customFormat="false" ht="14.25" hidden="false" customHeight="false" outlineLevel="0" collapsed="false">
      <c r="A1" s="21" t="s">
        <v>0</v>
      </c>
      <c r="B1" s="22" t="s">
        <v>1</v>
      </c>
      <c r="C1" s="21" t="s">
        <v>42</v>
      </c>
      <c r="D1" s="22" t="s">
        <v>43</v>
      </c>
      <c r="E1" s="22" t="s">
        <v>44</v>
      </c>
      <c r="F1" s="23" t="s">
        <v>45</v>
      </c>
    </row>
    <row r="2" customFormat="false" ht="14.25" hidden="false" customHeight="false" outlineLevel="0" collapsed="false">
      <c r="A2" s="20" t="s">
        <v>782</v>
      </c>
      <c r="B2" s="24" t="s">
        <v>783</v>
      </c>
      <c r="C2" s="25" t="s">
        <v>784</v>
      </c>
      <c r="D2" s="20" t="s">
        <v>784</v>
      </c>
      <c r="E2" s="20" t="s">
        <v>785</v>
      </c>
      <c r="F2" s="20" t="s">
        <v>786</v>
      </c>
    </row>
    <row r="3" customFormat="false" ht="14.25" hidden="false" customHeight="false" outlineLevel="0" collapsed="false">
      <c r="A3" s="20" t="s">
        <v>787</v>
      </c>
      <c r="B3" s="24" t="s">
        <v>788</v>
      </c>
      <c r="C3" s="25" t="s">
        <v>789</v>
      </c>
      <c r="D3" s="20" t="s">
        <v>789</v>
      </c>
      <c r="E3" s="20" t="s">
        <v>790</v>
      </c>
      <c r="F3" s="20" t="s">
        <v>791</v>
      </c>
    </row>
    <row r="4" customFormat="false" ht="14.25" hidden="false" customHeight="false" outlineLevel="0" collapsed="false">
      <c r="A4" s="20" t="s">
        <v>787</v>
      </c>
      <c r="B4" s="24" t="s">
        <v>788</v>
      </c>
      <c r="C4" s="25" t="s">
        <v>792</v>
      </c>
      <c r="D4" s="20" t="s">
        <v>792</v>
      </c>
      <c r="E4" s="20" t="s">
        <v>793</v>
      </c>
      <c r="F4" s="20" t="s">
        <v>794</v>
      </c>
    </row>
    <row r="30" customFormat="false" ht="14.25" hidden="false" customHeight="false" outlineLevel="0" collapsed="false">
      <c r="A30" s="20" t="s">
        <v>795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19.88"/>
    <col collapsed="false" customWidth="true" hidden="false" outlineLevel="0" max="2" min="2" style="1" width="19.44"/>
    <col collapsed="false" customWidth="true" hidden="false" outlineLevel="0" max="3" min="3" style="1" width="19"/>
    <col collapsed="false" customWidth="true" hidden="false" outlineLevel="0" max="26" min="4" style="1" width="14.56"/>
  </cols>
  <sheetData>
    <row r="1" customFormat="false" ht="14.25" hidden="false" customHeight="true" outlineLevel="0" collapsed="false">
      <c r="A1" s="13" t="s">
        <v>0</v>
      </c>
      <c r="B1" s="14" t="s">
        <v>1</v>
      </c>
      <c r="C1" s="13" t="s">
        <v>42</v>
      </c>
      <c r="D1" s="14" t="s">
        <v>43</v>
      </c>
      <c r="E1" s="14" t="s">
        <v>44</v>
      </c>
      <c r="F1" s="15" t="s">
        <v>45</v>
      </c>
    </row>
    <row r="2" customFormat="false" ht="14.25" hidden="false" customHeight="true" outlineLevel="0" collapsed="false">
      <c r="A2" s="17" t="e">
        <f aca="false">VLOOKUP(B2,Feuil1!A:B,2,FALSE())</f>
        <v>#N/A</v>
      </c>
      <c r="B2" s="17" t="s">
        <v>796</v>
      </c>
      <c r="C2" s="17" t="s">
        <v>797</v>
      </c>
      <c r="D2" s="17" t="s">
        <v>797</v>
      </c>
      <c r="E2" s="17" t="s">
        <v>797</v>
      </c>
      <c r="F2" s="17" t="s">
        <v>798</v>
      </c>
    </row>
    <row r="3" customFormat="false" ht="14.25" hidden="false" customHeight="true" outlineLevel="0" collapsed="false">
      <c r="A3" s="17" t="e">
        <f aca="false">VLOOKUP(B3,Feuil1!A:B,2,FALSE())</f>
        <v>#N/A</v>
      </c>
      <c r="B3" s="17" t="s">
        <v>776</v>
      </c>
      <c r="C3" s="17" t="s">
        <v>799</v>
      </c>
      <c r="D3" s="17" t="s">
        <v>799</v>
      </c>
      <c r="E3" s="17" t="s">
        <v>800</v>
      </c>
      <c r="F3" s="17" t="s">
        <v>801</v>
      </c>
    </row>
    <row r="4" customFormat="false" ht="14.25" hidden="false" customHeight="true" outlineLevel="0" collapsed="false">
      <c r="A4" s="17" t="e">
        <f aca="false">VLOOKUP(B4,Feuil1!A:B,2,FALSE())</f>
        <v>#N/A</v>
      </c>
      <c r="B4" s="17" t="s">
        <v>802</v>
      </c>
      <c r="C4" s="17" t="s">
        <v>803</v>
      </c>
      <c r="D4" s="17" t="s">
        <v>803</v>
      </c>
      <c r="E4" s="17" t="s">
        <v>804</v>
      </c>
      <c r="F4" s="17" t="s">
        <v>805</v>
      </c>
    </row>
    <row r="5" customFormat="false" ht="14.25" hidden="false" customHeight="true" outlineLevel="0" collapsed="false">
      <c r="A5" s="17" t="e">
        <f aca="false">VLOOKUP(B5,Feuil1!A:B,2,FALSE())</f>
        <v>#N/A</v>
      </c>
      <c r="B5" s="17" t="s">
        <v>806</v>
      </c>
      <c r="C5" s="17" t="s">
        <v>807</v>
      </c>
      <c r="D5" s="17" t="s">
        <v>807</v>
      </c>
      <c r="E5" s="17" t="s">
        <v>808</v>
      </c>
      <c r="F5" s="17" t="s">
        <v>809</v>
      </c>
    </row>
    <row r="6" customFormat="false" ht="14.25" hidden="false" customHeight="true" outlineLevel="0" collapsed="false">
      <c r="A6" s="17" t="e">
        <f aca="false">VLOOKUP(B6,Feuil1!A:B,2,FALSE())</f>
        <v>#N/A</v>
      </c>
      <c r="B6" s="17" t="s">
        <v>810</v>
      </c>
      <c r="C6" s="17" t="s">
        <v>463</v>
      </c>
      <c r="D6" s="17" t="s">
        <v>463</v>
      </c>
      <c r="E6" s="17" t="s">
        <v>463</v>
      </c>
      <c r="F6" s="17" t="s">
        <v>811</v>
      </c>
    </row>
    <row r="7" customFormat="false" ht="14.25" hidden="false" customHeight="true" outlineLevel="0" collapsed="false">
      <c r="A7" s="17" t="e">
        <f aca="false">VLOOKUP(B7,Feuil1!A:B,2,FALSE())</f>
        <v>#N/A</v>
      </c>
      <c r="B7" s="17" t="s">
        <v>812</v>
      </c>
      <c r="C7" s="17" t="s">
        <v>813</v>
      </c>
      <c r="D7" s="17" t="s">
        <v>813</v>
      </c>
      <c r="E7" s="17" t="s">
        <v>814</v>
      </c>
      <c r="F7" s="17" t="s">
        <v>815</v>
      </c>
    </row>
    <row r="8" customFormat="false" ht="14.25" hidden="false" customHeight="true" outlineLevel="0" collapsed="false">
      <c r="A8" s="17" t="e">
        <f aca="false">VLOOKUP(B8,Feuil1!A:B,2,FALSE())</f>
        <v>#N/A</v>
      </c>
      <c r="B8" s="17" t="s">
        <v>776</v>
      </c>
      <c r="C8" s="17" t="s">
        <v>816</v>
      </c>
      <c r="D8" s="17" t="s">
        <v>816</v>
      </c>
      <c r="E8" s="17" t="s">
        <v>817</v>
      </c>
      <c r="F8" s="17" t="s">
        <v>818</v>
      </c>
    </row>
    <row r="9" customFormat="false" ht="14.25" hidden="false" customHeight="true" outlineLevel="0" collapsed="false">
      <c r="A9" s="17" t="e">
        <f aca="false">VLOOKUP(B9,Feuil1!A:B,2,FALSE())</f>
        <v>#N/A</v>
      </c>
      <c r="B9" s="17" t="s">
        <v>819</v>
      </c>
      <c r="C9" s="17" t="s">
        <v>820</v>
      </c>
      <c r="D9" s="17" t="s">
        <v>820</v>
      </c>
      <c r="E9" s="17" t="s">
        <v>820</v>
      </c>
      <c r="F9" s="17" t="s">
        <v>821</v>
      </c>
    </row>
    <row r="10" customFormat="false" ht="14.25" hidden="false" customHeight="true" outlineLevel="0" collapsed="false">
      <c r="A10" s="17" t="e">
        <f aca="false">VLOOKUP(B10,Feuil1!A:B,2,FALSE())</f>
        <v>#N/A</v>
      </c>
      <c r="B10" s="17" t="s">
        <v>822</v>
      </c>
      <c r="C10" s="17" t="s">
        <v>823</v>
      </c>
      <c r="D10" s="17" t="s">
        <v>823</v>
      </c>
      <c r="E10" s="17" t="s">
        <v>823</v>
      </c>
      <c r="F10" s="17" t="s">
        <v>824</v>
      </c>
    </row>
    <row r="11" customFormat="false" ht="14.25" hidden="false" customHeight="true" outlineLevel="0" collapsed="false">
      <c r="A11" s="17" t="e">
        <f aca="false">VLOOKUP(B11,Feuil1!A:B,2,FALSE())</f>
        <v>#N/A</v>
      </c>
      <c r="B11" s="17" t="s">
        <v>825</v>
      </c>
      <c r="C11" s="17" t="s">
        <v>487</v>
      </c>
      <c r="D11" s="17" t="s">
        <v>487</v>
      </c>
      <c r="E11" s="17" t="s">
        <v>487</v>
      </c>
      <c r="F11" s="17" t="s">
        <v>826</v>
      </c>
    </row>
    <row r="12" customFormat="false" ht="14.25" hidden="false" customHeight="true" outlineLevel="0" collapsed="false">
      <c r="A12" s="17" t="e">
        <f aca="false">VLOOKUP(B12,Feuil1!A:B,2,FALSE())</f>
        <v>#N/A</v>
      </c>
      <c r="B12" s="17" t="s">
        <v>827</v>
      </c>
      <c r="C12" s="17" t="s">
        <v>828</v>
      </c>
      <c r="D12" s="17" t="s">
        <v>828</v>
      </c>
      <c r="E12" s="17" t="s">
        <v>828</v>
      </c>
      <c r="F12" s="17" t="s">
        <v>829</v>
      </c>
    </row>
    <row r="13" customFormat="false" ht="14.25" hidden="false" customHeight="true" outlineLevel="0" collapsed="false">
      <c r="A13" s="17" t="e">
        <f aca="false">VLOOKUP(B13,Feuil1!A:B,2,FALSE())</f>
        <v>#N/A</v>
      </c>
      <c r="B13" s="17" t="s">
        <v>830</v>
      </c>
      <c r="C13" s="17" t="s">
        <v>831</v>
      </c>
      <c r="D13" s="17" t="s">
        <v>831</v>
      </c>
      <c r="E13" s="17" t="s">
        <v>831</v>
      </c>
      <c r="F13" s="17" t="s">
        <v>832</v>
      </c>
    </row>
    <row r="14" customFormat="false" ht="14.25" hidden="false" customHeight="true" outlineLevel="0" collapsed="false">
      <c r="A14" s="17" t="e">
        <f aca="false">VLOOKUP(B14,Feuil1!A:B,2,FALSE())</f>
        <v>#N/A</v>
      </c>
      <c r="B14" s="17" t="s">
        <v>833</v>
      </c>
      <c r="C14" s="17" t="s">
        <v>834</v>
      </c>
      <c r="D14" s="17" t="s">
        <v>834</v>
      </c>
      <c r="E14" s="17" t="s">
        <v>834</v>
      </c>
      <c r="F14" s="17" t="s">
        <v>835</v>
      </c>
    </row>
    <row r="15" customFormat="false" ht="14.25" hidden="false" customHeight="true" outlineLevel="0" collapsed="false">
      <c r="A15" s="17" t="e">
        <f aca="false">VLOOKUP(B15,Feuil1!A:B,2,FALSE())</f>
        <v>#N/A</v>
      </c>
      <c r="B15" s="17" t="s">
        <v>836</v>
      </c>
      <c r="C15" s="17" t="s">
        <v>837</v>
      </c>
      <c r="D15" s="17" t="s">
        <v>837</v>
      </c>
      <c r="E15" s="17" t="s">
        <v>837</v>
      </c>
      <c r="F15" s="17" t="s">
        <v>838</v>
      </c>
    </row>
    <row r="16" customFormat="false" ht="14.25" hidden="false" customHeight="true" outlineLevel="0" collapsed="false">
      <c r="A16" s="17" t="e">
        <f aca="false">VLOOKUP(B16,Feuil1!A:B,2,FALSE())</f>
        <v>#N/A</v>
      </c>
      <c r="B16" s="17" t="s">
        <v>776</v>
      </c>
      <c r="C16" s="17" t="s">
        <v>839</v>
      </c>
      <c r="D16" s="17" t="s">
        <v>839</v>
      </c>
      <c r="E16" s="17" t="s">
        <v>839</v>
      </c>
      <c r="F16" s="17" t="s">
        <v>840</v>
      </c>
    </row>
    <row r="17" customFormat="false" ht="14.25" hidden="false" customHeight="true" outlineLevel="0" collapsed="false">
      <c r="A17" s="17" t="e">
        <f aca="false">VLOOKUP(B17,Feuil1!A:B,2,FALSE())</f>
        <v>#N/A</v>
      </c>
      <c r="B17" s="17" t="s">
        <v>841</v>
      </c>
      <c r="C17" s="17" t="s">
        <v>842</v>
      </c>
      <c r="D17" s="17" t="s">
        <v>842</v>
      </c>
      <c r="E17" s="17" t="s">
        <v>842</v>
      </c>
      <c r="F17" s="17" t="s">
        <v>843</v>
      </c>
    </row>
    <row r="18" customFormat="false" ht="14.25" hidden="false" customHeight="true" outlineLevel="0" collapsed="false">
      <c r="A18" s="17" t="e">
        <f aca="false">VLOOKUP(B18,Feuil1!A:B,2,FALSE())</f>
        <v>#N/A</v>
      </c>
      <c r="B18" s="17" t="s">
        <v>844</v>
      </c>
      <c r="C18" s="17" t="s">
        <v>845</v>
      </c>
      <c r="D18" s="17" t="s">
        <v>845</v>
      </c>
      <c r="E18" s="17" t="s">
        <v>845</v>
      </c>
      <c r="F18" s="17" t="s">
        <v>846</v>
      </c>
    </row>
    <row r="19" customFormat="false" ht="14.25" hidden="false" customHeight="true" outlineLevel="0" collapsed="false">
      <c r="A19" s="17" t="str">
        <f aca="false">VLOOKUP(B19,Feuil1!A:B,2,FALSE())</f>
        <v>Type d'échantillon</v>
      </c>
      <c r="B19" s="17" t="s">
        <v>529</v>
      </c>
      <c r="C19" s="17" t="s">
        <v>452</v>
      </c>
      <c r="D19" s="17" t="s">
        <v>452</v>
      </c>
      <c r="E19" s="17" t="s">
        <v>847</v>
      </c>
      <c r="F19" s="17" t="s">
        <v>451</v>
      </c>
    </row>
    <row r="20" customFormat="false" ht="14.25" hidden="false" customHeight="true" outlineLevel="0" collapsed="false">
      <c r="A20" s="17" t="e">
        <f aca="false">VLOOKUP(B20,Feuil1!A:B,2,FALSE())</f>
        <v>#N/A</v>
      </c>
      <c r="B20" s="17" t="s">
        <v>848</v>
      </c>
      <c r="C20" s="17" t="s">
        <v>849</v>
      </c>
      <c r="D20" s="17" t="s">
        <v>849</v>
      </c>
      <c r="E20" s="17" t="s">
        <v>307</v>
      </c>
      <c r="F20" s="17" t="s">
        <v>850</v>
      </c>
    </row>
    <row r="21" customFormat="false" ht="14.25" hidden="false" customHeight="true" outlineLevel="0" collapsed="false">
      <c r="A21" s="17" t="e">
        <f aca="false">VLOOKUP(B21,Feuil1!A:B,2,FALSE())</f>
        <v>#N/A</v>
      </c>
      <c r="B21" s="17" t="s">
        <v>851</v>
      </c>
      <c r="C21" s="17" t="s">
        <v>852</v>
      </c>
      <c r="D21" s="17" t="s">
        <v>852</v>
      </c>
      <c r="E21" s="17" t="s">
        <v>852</v>
      </c>
      <c r="F21" s="17" t="s">
        <v>853</v>
      </c>
    </row>
    <row r="22" customFormat="false" ht="14.25" hidden="false" customHeight="true" outlineLevel="0" collapsed="false">
      <c r="A22" s="17" t="str">
        <f aca="false">VLOOKUP(B22,Feuil1!A:B,2,FALSE())</f>
        <v>District - Nom du laboratoire</v>
      </c>
      <c r="B22" s="17" t="s">
        <v>541</v>
      </c>
      <c r="C22" s="17" t="s">
        <v>204</v>
      </c>
      <c r="D22" s="17" t="s">
        <v>204</v>
      </c>
      <c r="E22" s="17" t="s">
        <v>204</v>
      </c>
      <c r="F22" s="17" t="s">
        <v>203</v>
      </c>
    </row>
    <row r="23" customFormat="false" ht="14.25" hidden="false" customHeight="true" outlineLevel="0" collapsed="false">
      <c r="A23" s="17" t="str">
        <f aca="false">VLOOKUP(B23,Feuil1!A:B,2,FALSE())</f>
        <v>District - Résultat final du laboratoire</v>
      </c>
      <c r="B23" s="17" t="s">
        <v>505</v>
      </c>
      <c r="C23" s="17" t="s">
        <v>272</v>
      </c>
      <c r="D23" s="17" t="s">
        <v>272</v>
      </c>
      <c r="E23" s="17" t="s">
        <v>272</v>
      </c>
      <c r="F23" s="17" t="s">
        <v>271</v>
      </c>
    </row>
    <row r="24" customFormat="false" ht="14.25" hidden="false" customHeight="true" outlineLevel="0" collapsed="false">
      <c r="A24" s="17" t="e">
        <f aca="false">VLOOKUP(B24,Feuil1!A:B,2,FALSE())</f>
        <v>#N/A</v>
      </c>
      <c r="B24" s="17" t="s">
        <v>854</v>
      </c>
      <c r="C24" s="17" t="s">
        <v>855</v>
      </c>
      <c r="D24" s="17" t="s">
        <v>855</v>
      </c>
      <c r="E24" s="17" t="s">
        <v>855</v>
      </c>
      <c r="F24" s="17" t="s">
        <v>856</v>
      </c>
    </row>
    <row r="25" customFormat="false" ht="14.25" hidden="false" customHeight="true" outlineLevel="0" collapsed="false">
      <c r="A25" s="17" t="e">
        <f aca="false">VLOOKUP(B25,Feuil1!A:B,2,FALSE())</f>
        <v>#N/A</v>
      </c>
      <c r="B25" s="17" t="s">
        <v>830</v>
      </c>
      <c r="C25" s="17" t="s">
        <v>857</v>
      </c>
      <c r="D25" s="17" t="s">
        <v>857</v>
      </c>
      <c r="E25" s="17" t="s">
        <v>857</v>
      </c>
      <c r="F25" s="17" t="s">
        <v>858</v>
      </c>
    </row>
    <row r="26" customFormat="false" ht="14.25" hidden="false" customHeight="true" outlineLevel="0" collapsed="false">
      <c r="A26" s="17" t="str">
        <f aca="false">VLOOKUP(B26,Feuil1!A:B,2,FALSE())</f>
        <v>District - sérotype S. pneumoniae</v>
      </c>
      <c r="B26" s="17" t="s">
        <v>545</v>
      </c>
      <c r="C26" s="17" t="s">
        <v>88</v>
      </c>
      <c r="D26" s="17" t="s">
        <v>88</v>
      </c>
      <c r="E26" s="17" t="s">
        <v>88</v>
      </c>
      <c r="F26" s="17" t="s">
        <v>87</v>
      </c>
    </row>
    <row r="27" customFormat="false" ht="14.25" hidden="false" customHeight="true" outlineLevel="0" collapsed="false">
      <c r="A27" s="17" t="e">
        <f aca="false">VLOOKUP(B27,Feuil1!A:B,2,FALSE())</f>
        <v>#N/A</v>
      </c>
      <c r="B27" s="17" t="s">
        <v>859</v>
      </c>
      <c r="C27" s="17" t="s">
        <v>860</v>
      </c>
      <c r="D27" s="17" t="s">
        <v>860</v>
      </c>
      <c r="E27" s="17" t="s">
        <v>860</v>
      </c>
      <c r="F27" s="17" t="s">
        <v>861</v>
      </c>
    </row>
    <row r="28" customFormat="false" ht="14.25" hidden="false" customHeight="true" outlineLevel="0" collapsed="false">
      <c r="A28" s="17" t="str">
        <f aca="false">VLOOKUP(B28,Feuil1!A:B,2,FALSE())</f>
        <v>District - Nom du laboratoire</v>
      </c>
      <c r="B28" s="17" t="s">
        <v>541</v>
      </c>
      <c r="C28" s="17" t="s">
        <v>393</v>
      </c>
      <c r="D28" s="17" t="s">
        <v>393</v>
      </c>
      <c r="E28" s="17" t="s">
        <v>393</v>
      </c>
      <c r="F28" s="17" t="s">
        <v>392</v>
      </c>
    </row>
    <row r="29" customFormat="false" ht="14.25" hidden="false" customHeight="true" outlineLevel="0" collapsed="false">
      <c r="A29" s="17" t="e">
        <f aca="false">VLOOKUP(B29,Feuil1!A:B,2,FALSE())</f>
        <v>#N/A</v>
      </c>
      <c r="B29" s="17" t="s">
        <v>862</v>
      </c>
      <c r="C29" s="17" t="s">
        <v>863</v>
      </c>
      <c r="D29" s="17" t="s">
        <v>863</v>
      </c>
      <c r="E29" s="17" t="s">
        <v>863</v>
      </c>
      <c r="F29" s="17" t="s">
        <v>864</v>
      </c>
    </row>
    <row r="30" customFormat="false" ht="14.25" hidden="false" customHeight="true" outlineLevel="0" collapsed="false">
      <c r="A30" s="17" t="e">
        <f aca="false">VLOOKUP(B30,Feuil1!A:B,2,FALSE())</f>
        <v>#N/A</v>
      </c>
      <c r="B30" s="17" t="s">
        <v>865</v>
      </c>
      <c r="C30" s="17" t="s">
        <v>866</v>
      </c>
      <c r="D30" s="17" t="s">
        <v>866</v>
      </c>
      <c r="E30" s="17" t="s">
        <v>866</v>
      </c>
      <c r="F30" s="17" t="s">
        <v>867</v>
      </c>
    </row>
    <row r="31" customFormat="false" ht="14.25" hidden="false" customHeight="true" outlineLevel="0" collapsed="false">
      <c r="A31" s="17" t="str">
        <f aca="false">VLOOKUP(B31,Feuil1!A:B,2,FALSE())</f>
        <v>District - Résultat final du laboratoire</v>
      </c>
      <c r="B31" s="17" t="s">
        <v>505</v>
      </c>
      <c r="C31" s="17" t="s">
        <v>318</v>
      </c>
      <c r="D31" s="17" t="s">
        <v>318</v>
      </c>
      <c r="E31" s="17" t="s">
        <v>318</v>
      </c>
      <c r="F31" s="17" t="s">
        <v>319</v>
      </c>
    </row>
    <row r="32" customFormat="false" ht="14.25" hidden="false" customHeight="true" outlineLevel="0" collapsed="false">
      <c r="A32" s="17" t="e">
        <f aca="false">VLOOKUP(B32,Feuil1!A:B,2,FALSE())</f>
        <v>#N/A</v>
      </c>
      <c r="B32" s="17" t="s">
        <v>868</v>
      </c>
      <c r="C32" s="17" t="s">
        <v>869</v>
      </c>
      <c r="D32" s="17" t="s">
        <v>869</v>
      </c>
      <c r="E32" s="17" t="s">
        <v>869</v>
      </c>
      <c r="F32" s="17" t="s">
        <v>870</v>
      </c>
    </row>
    <row r="33" customFormat="false" ht="14.25" hidden="false" customHeight="true" outlineLevel="0" collapsed="false">
      <c r="A33" s="17" t="e">
        <f aca="false">VLOOKUP(B33,Feuil1!A:B,2,FALSE())</f>
        <v>#N/A</v>
      </c>
      <c r="B33" s="17" t="s">
        <v>854</v>
      </c>
      <c r="C33" s="17" t="s">
        <v>871</v>
      </c>
      <c r="D33" s="17" t="s">
        <v>871</v>
      </c>
      <c r="E33" s="17" t="s">
        <v>871</v>
      </c>
      <c r="F33" s="17" t="s">
        <v>872</v>
      </c>
    </row>
    <row r="34" customFormat="false" ht="14.25" hidden="false" customHeight="true" outlineLevel="0" collapsed="false">
      <c r="A34" s="17" t="e">
        <f aca="false">VLOOKUP(B34,Feuil1!A:B,2,FALSE())</f>
        <v>#N/A</v>
      </c>
      <c r="B34" s="17" t="s">
        <v>873</v>
      </c>
      <c r="C34" s="17" t="s">
        <v>874</v>
      </c>
      <c r="D34" s="17" t="s">
        <v>874</v>
      </c>
      <c r="E34" s="17" t="s">
        <v>875</v>
      </c>
      <c r="F34" s="17" t="s">
        <v>876</v>
      </c>
    </row>
    <row r="35" customFormat="false" ht="14.25" hidden="false" customHeight="true" outlineLevel="0" collapsed="false">
      <c r="A35" s="17" t="str">
        <f aca="false">VLOOKUP(B35,Feuil1!A:B,2,FALSE())</f>
        <v>District - Résultat final du laboratoire</v>
      </c>
      <c r="B35" s="17" t="s">
        <v>505</v>
      </c>
      <c r="C35" s="17" t="s">
        <v>332</v>
      </c>
      <c r="D35" s="17" t="s">
        <v>332</v>
      </c>
      <c r="E35" s="17" t="s">
        <v>332</v>
      </c>
      <c r="F35" s="17" t="s">
        <v>331</v>
      </c>
    </row>
    <row r="36" customFormat="false" ht="14.25" hidden="false" customHeight="true" outlineLevel="0" collapsed="false">
      <c r="A36" s="17" t="e">
        <f aca="false">VLOOKUP(B36,Feuil1!A:B,2,FALSE())</f>
        <v>#N/A</v>
      </c>
      <c r="B36" s="17" t="s">
        <v>877</v>
      </c>
      <c r="C36" s="17" t="s">
        <v>878</v>
      </c>
      <c r="D36" s="17" t="s">
        <v>878</v>
      </c>
      <c r="E36" s="17" t="s">
        <v>878</v>
      </c>
      <c r="F36" s="17" t="s">
        <v>879</v>
      </c>
    </row>
    <row r="37" customFormat="false" ht="14.25" hidden="false" customHeight="true" outlineLevel="0" collapsed="false">
      <c r="A37" s="17" t="str">
        <f aca="false">VLOOKUP(B37,Feuil1!A:B,2,FALSE())</f>
        <v>District - sérotype S. pneumoniae</v>
      </c>
      <c r="B37" s="17" t="s">
        <v>545</v>
      </c>
      <c r="C37" s="17" t="n">
        <v>8</v>
      </c>
      <c r="D37" s="17" t="n">
        <v>8</v>
      </c>
      <c r="E37" s="17" t="n">
        <v>8</v>
      </c>
      <c r="F37" s="17" t="s">
        <v>154</v>
      </c>
    </row>
    <row r="38" customFormat="false" ht="14.25" hidden="false" customHeight="true" outlineLevel="0" collapsed="false">
      <c r="A38" s="17" t="e">
        <f aca="false">VLOOKUP(B38,Feuil1!A:B,2,FALSE())</f>
        <v>#N/A</v>
      </c>
      <c r="B38" s="17" t="s">
        <v>877</v>
      </c>
      <c r="C38" s="17" t="s">
        <v>880</v>
      </c>
      <c r="D38" s="17" t="s">
        <v>880</v>
      </c>
      <c r="E38" s="17" t="s">
        <v>881</v>
      </c>
      <c r="F38" s="17" t="s">
        <v>882</v>
      </c>
    </row>
    <row r="39" customFormat="false" ht="14.25" hidden="false" customHeight="true" outlineLevel="0" collapsed="false">
      <c r="A39" s="17" t="e">
        <f aca="false">VLOOKUP(B39,Feuil1!A:B,2,FALSE())</f>
        <v>#N/A</v>
      </c>
      <c r="B39" s="17" t="s">
        <v>819</v>
      </c>
      <c r="C39" s="17" t="s">
        <v>883</v>
      </c>
      <c r="D39" s="17" t="s">
        <v>883</v>
      </c>
      <c r="E39" s="17" t="s">
        <v>883</v>
      </c>
      <c r="F39" s="17" t="s">
        <v>884</v>
      </c>
    </row>
    <row r="40" customFormat="false" ht="14.25" hidden="false" customHeight="true" outlineLevel="0" collapsed="false">
      <c r="A40" s="17" t="e">
        <f aca="false">VLOOKUP(B40,Feuil1!A:B,2,FALSE())</f>
        <v>#N/A</v>
      </c>
      <c r="B40" s="17" t="s">
        <v>885</v>
      </c>
      <c r="C40" s="17" t="s">
        <v>886</v>
      </c>
      <c r="D40" s="17" t="s">
        <v>886</v>
      </c>
      <c r="E40" s="17" t="s">
        <v>886</v>
      </c>
      <c r="F40" s="17" t="s">
        <v>887</v>
      </c>
    </row>
    <row r="41" customFormat="false" ht="14.25" hidden="false" customHeight="true" outlineLevel="0" collapsed="false">
      <c r="A41" s="17" t="e">
        <f aca="false">VLOOKUP(B41,Feuil1!A:B,2,FALSE())</f>
        <v>#N/A</v>
      </c>
      <c r="B41" s="17" t="s">
        <v>888</v>
      </c>
      <c r="C41" s="17" t="s">
        <v>889</v>
      </c>
      <c r="D41" s="17" t="s">
        <v>889</v>
      </c>
      <c r="E41" s="17" t="s">
        <v>889</v>
      </c>
      <c r="F41" s="17" t="s">
        <v>890</v>
      </c>
    </row>
    <row r="42" customFormat="false" ht="14.25" hidden="false" customHeight="true" outlineLevel="0" collapsed="false">
      <c r="A42" s="17" t="str">
        <f aca="false">VLOOKUP(B42,Feuil1!A:B,2,FALSE())</f>
        <v>District - Résultat de l'agglutination du latex</v>
      </c>
      <c r="B42" s="17" t="s">
        <v>551</v>
      </c>
      <c r="C42" s="17" t="s">
        <v>364</v>
      </c>
      <c r="D42" s="17" t="s">
        <v>364</v>
      </c>
      <c r="E42" s="17" t="s">
        <v>364</v>
      </c>
      <c r="F42" s="17" t="s">
        <v>363</v>
      </c>
    </row>
    <row r="43" customFormat="false" ht="14.25" hidden="false" customHeight="true" outlineLevel="0" collapsed="false">
      <c r="A43" s="17" t="str">
        <f aca="false">VLOOKUP(B43,Feuil1!A:B,2,FALSE())</f>
        <v>District - Nom du laboratoire</v>
      </c>
      <c r="B43" s="17" t="s">
        <v>541</v>
      </c>
      <c r="C43" s="17" t="s">
        <v>196</v>
      </c>
      <c r="D43" s="17" t="s">
        <v>196</v>
      </c>
      <c r="E43" s="17" t="s">
        <v>196</v>
      </c>
      <c r="F43" s="17" t="s">
        <v>195</v>
      </c>
    </row>
    <row r="44" customFormat="false" ht="14.25" hidden="false" customHeight="true" outlineLevel="0" collapsed="false">
      <c r="A44" s="17" t="e">
        <f aca="false">VLOOKUP(B44,Feuil1!A:B,2,FALSE())</f>
        <v>#N/A</v>
      </c>
      <c r="B44" s="17" t="s">
        <v>819</v>
      </c>
      <c r="C44" s="17" t="s">
        <v>860</v>
      </c>
      <c r="D44" s="17" t="s">
        <v>860</v>
      </c>
      <c r="E44" s="17" t="s">
        <v>860</v>
      </c>
      <c r="F44" s="17" t="s">
        <v>891</v>
      </c>
    </row>
    <row r="45" customFormat="false" ht="14.25" hidden="false" customHeight="true" outlineLevel="0" collapsed="false">
      <c r="A45" s="17" t="e">
        <f aca="false">VLOOKUP(B45,Feuil1!A:B,2,FALSE())</f>
        <v>#N/A</v>
      </c>
      <c r="B45" s="17" t="s">
        <v>892</v>
      </c>
      <c r="C45" s="17" t="s">
        <v>869</v>
      </c>
      <c r="D45" s="17" t="s">
        <v>869</v>
      </c>
      <c r="E45" s="17" t="s">
        <v>869</v>
      </c>
      <c r="F45" s="17" t="s">
        <v>893</v>
      </c>
    </row>
    <row r="46" customFormat="false" ht="14.25" hidden="false" customHeight="true" outlineLevel="0" collapsed="false">
      <c r="A46" s="17" t="e">
        <f aca="false">VLOOKUP(B46,Feuil1!A:B,2,FALSE())</f>
        <v>#N/A</v>
      </c>
      <c r="B46" s="17" t="s">
        <v>819</v>
      </c>
      <c r="C46" s="17" t="s">
        <v>894</v>
      </c>
      <c r="D46" s="17" t="s">
        <v>894</v>
      </c>
      <c r="E46" s="17" t="s">
        <v>894</v>
      </c>
      <c r="F46" s="17" t="s">
        <v>895</v>
      </c>
    </row>
    <row r="47" customFormat="false" ht="14.25" hidden="false" customHeight="true" outlineLevel="0" collapsed="false">
      <c r="A47" s="17" t="str">
        <f aca="false">VLOOKUP(B47,Feuil1!A:B,2,FALSE())</f>
        <v>District - sérotype S. pneumoniae</v>
      </c>
      <c r="B47" s="17" t="s">
        <v>545</v>
      </c>
      <c r="C47" s="17" t="s">
        <v>115</v>
      </c>
      <c r="D47" s="17" t="s">
        <v>115</v>
      </c>
      <c r="E47" s="17" t="s">
        <v>115</v>
      </c>
      <c r="F47" s="17" t="s">
        <v>114</v>
      </c>
    </row>
    <row r="48" customFormat="false" ht="14.25" hidden="false" customHeight="true" outlineLevel="0" collapsed="false">
      <c r="A48" s="17" t="str">
        <f aca="false">VLOOKUP(B48,Feuil1!A:B,2,FALSE())</f>
        <v>District - Résultat final du laboratoire</v>
      </c>
      <c r="B48" s="17" t="s">
        <v>505</v>
      </c>
      <c r="C48" s="17" t="s">
        <v>446</v>
      </c>
      <c r="D48" s="17" t="s">
        <v>446</v>
      </c>
      <c r="E48" s="17" t="s">
        <v>896</v>
      </c>
      <c r="F48" s="17" t="s">
        <v>445</v>
      </c>
    </row>
    <row r="49" customFormat="false" ht="14.25" hidden="false" customHeight="true" outlineLevel="0" collapsed="false">
      <c r="A49" s="17" t="e">
        <f aca="false">VLOOKUP(B49,Feuil1!A:B,2,FALSE())</f>
        <v>#N/A</v>
      </c>
      <c r="B49" s="17" t="s">
        <v>827</v>
      </c>
      <c r="C49" s="17" t="s">
        <v>897</v>
      </c>
      <c r="D49" s="17" t="s">
        <v>897</v>
      </c>
      <c r="E49" s="17" t="s">
        <v>897</v>
      </c>
      <c r="F49" s="17" t="s">
        <v>898</v>
      </c>
    </row>
    <row r="50" customFormat="false" ht="14.25" hidden="false" customHeight="true" outlineLevel="0" collapsed="false">
      <c r="A50" s="17" t="e">
        <f aca="false">VLOOKUP(B50,Feuil1!A:B,2,FALSE())</f>
        <v>#N/A</v>
      </c>
      <c r="B50" s="17" t="s">
        <v>885</v>
      </c>
      <c r="C50" s="17" t="s">
        <v>899</v>
      </c>
      <c r="D50" s="17" t="s">
        <v>899</v>
      </c>
      <c r="E50" s="17" t="s">
        <v>899</v>
      </c>
      <c r="F50" s="17" t="s">
        <v>900</v>
      </c>
    </row>
    <row r="51" customFormat="false" ht="14.25" hidden="false" customHeight="true" outlineLevel="0" collapsed="false">
      <c r="A51" s="17" t="e">
        <f aca="false">VLOOKUP(B51,Feuil1!A:B,2,FALSE())</f>
        <v>#N/A</v>
      </c>
      <c r="B51" s="17" t="s">
        <v>873</v>
      </c>
      <c r="C51" s="17" t="s">
        <v>901</v>
      </c>
      <c r="D51" s="17" t="s">
        <v>901</v>
      </c>
      <c r="E51" s="17" t="s">
        <v>902</v>
      </c>
      <c r="F51" s="17" t="s">
        <v>903</v>
      </c>
    </row>
    <row r="52" customFormat="false" ht="14.25" hidden="false" customHeight="true" outlineLevel="0" collapsed="false">
      <c r="A52" s="17" t="e">
        <f aca="false">VLOOKUP(B52,Feuil1!A:B,2,FALSE())</f>
        <v>#N/A</v>
      </c>
      <c r="B52" s="17" t="s">
        <v>819</v>
      </c>
      <c r="C52" s="17" t="s">
        <v>904</v>
      </c>
      <c r="D52" s="17" t="s">
        <v>904</v>
      </c>
      <c r="E52" s="17" t="s">
        <v>904</v>
      </c>
      <c r="F52" s="17" t="s">
        <v>905</v>
      </c>
    </row>
    <row r="53" customFormat="false" ht="14.25" hidden="false" customHeight="true" outlineLevel="0" collapsed="false">
      <c r="A53" s="17" t="str">
        <f aca="false">VLOOKUP(B53,Feuil1!A:B,2,FALSE())</f>
        <v>District - Nom du laboratoire</v>
      </c>
      <c r="B53" s="17" t="s">
        <v>541</v>
      </c>
      <c r="C53" s="17" t="s">
        <v>198</v>
      </c>
      <c r="D53" s="17" t="s">
        <v>198</v>
      </c>
      <c r="E53" s="17" t="s">
        <v>198</v>
      </c>
      <c r="F53" s="17" t="s">
        <v>197</v>
      </c>
    </row>
    <row r="54" customFormat="false" ht="14.25" hidden="false" customHeight="true" outlineLevel="0" collapsed="false">
      <c r="A54" s="17" t="str">
        <f aca="false">VLOOKUP(B54,Feuil1!A:B,2,FALSE())</f>
        <v>District - sérotype S. pneumoniae</v>
      </c>
      <c r="B54" s="17" t="s">
        <v>545</v>
      </c>
      <c r="C54" s="17" t="s">
        <v>149</v>
      </c>
      <c r="D54" s="17" t="s">
        <v>149</v>
      </c>
      <c r="E54" s="17" t="s">
        <v>906</v>
      </c>
      <c r="F54" s="17" t="s">
        <v>148</v>
      </c>
    </row>
    <row r="55" customFormat="false" ht="14.25" hidden="false" customHeight="true" outlineLevel="0" collapsed="false">
      <c r="A55" s="17" t="e">
        <f aca="false">VLOOKUP(B55,Feuil1!A:B,2,FALSE())</f>
        <v>#N/A</v>
      </c>
      <c r="B55" s="17" t="s">
        <v>810</v>
      </c>
      <c r="C55" s="17" t="s">
        <v>907</v>
      </c>
      <c r="D55" s="17" t="s">
        <v>907</v>
      </c>
      <c r="E55" s="17" t="s">
        <v>907</v>
      </c>
      <c r="F55" s="17" t="s">
        <v>908</v>
      </c>
    </row>
    <row r="56" customFormat="false" ht="14.25" hidden="false" customHeight="true" outlineLevel="0" collapsed="false">
      <c r="A56" s="17" t="e">
        <f aca="false">VLOOKUP(B56,Feuil1!A:B,2,FALSE())</f>
        <v>#N/A</v>
      </c>
      <c r="B56" s="17" t="s">
        <v>873</v>
      </c>
      <c r="C56" s="17" t="s">
        <v>909</v>
      </c>
      <c r="D56" s="17" t="s">
        <v>909</v>
      </c>
      <c r="E56" s="17" t="s">
        <v>910</v>
      </c>
      <c r="F56" s="17" t="s">
        <v>911</v>
      </c>
    </row>
    <row r="57" customFormat="false" ht="14.25" hidden="false" customHeight="true" outlineLevel="0" collapsed="false">
      <c r="A57" s="17" t="e">
        <f aca="false">VLOOKUP(B57,Feuil1!A:B,2,FALSE())</f>
        <v>#N/A</v>
      </c>
      <c r="B57" s="17" t="s">
        <v>873</v>
      </c>
      <c r="C57" s="17" t="s">
        <v>912</v>
      </c>
      <c r="D57" s="17" t="s">
        <v>912</v>
      </c>
      <c r="E57" s="17" t="s">
        <v>913</v>
      </c>
      <c r="F57" s="17" t="s">
        <v>914</v>
      </c>
    </row>
    <row r="58" customFormat="false" ht="14.25" hidden="false" customHeight="true" outlineLevel="0" collapsed="false">
      <c r="A58" s="17" t="e">
        <f aca="false">VLOOKUP(B58,Feuil1!A:B,2,FALSE())</f>
        <v>#N/A</v>
      </c>
      <c r="B58" s="17" t="s">
        <v>915</v>
      </c>
      <c r="C58" s="17" t="s">
        <v>403</v>
      </c>
      <c r="D58" s="17" t="s">
        <v>403</v>
      </c>
      <c r="E58" s="17" t="s">
        <v>403</v>
      </c>
      <c r="F58" s="17" t="s">
        <v>916</v>
      </c>
    </row>
    <row r="59" customFormat="false" ht="14.25" hidden="false" customHeight="true" outlineLevel="0" collapsed="false">
      <c r="A59" s="17" t="str">
        <f aca="false">VLOOKUP(B59,Feuil1!A:B,2,FALSE())</f>
        <v>District - Résultat de la coloration de Gram</v>
      </c>
      <c r="B59" s="17" t="s">
        <v>571</v>
      </c>
      <c r="C59" s="17" t="s">
        <v>264</v>
      </c>
      <c r="D59" s="17" t="s">
        <v>264</v>
      </c>
      <c r="E59" s="17" t="s">
        <v>264</v>
      </c>
      <c r="F59" s="17" t="s">
        <v>263</v>
      </c>
    </row>
    <row r="60" customFormat="false" ht="14.25" hidden="false" customHeight="true" outlineLevel="0" collapsed="false">
      <c r="A60" s="17" t="str">
        <f aca="false">VLOOKUP(B60,Feuil1!A:B,2,FALSE())</f>
        <v>District - Résultat du PCR</v>
      </c>
      <c r="B60" s="17" t="s">
        <v>651</v>
      </c>
      <c r="C60" s="17" t="s">
        <v>274</v>
      </c>
      <c r="D60" s="17" t="s">
        <v>274</v>
      </c>
      <c r="E60" s="17" t="s">
        <v>274</v>
      </c>
      <c r="F60" s="17" t="s">
        <v>273</v>
      </c>
    </row>
    <row r="61" customFormat="false" ht="14.25" hidden="false" customHeight="true" outlineLevel="0" collapsed="false">
      <c r="A61" s="17" t="str">
        <f aca="false">VLOOKUP(B61,Feuil1!A:B,2,FALSE())</f>
        <v>District - Nom du laboratoire</v>
      </c>
      <c r="B61" s="17" t="s">
        <v>541</v>
      </c>
      <c r="C61" s="17" t="s">
        <v>202</v>
      </c>
      <c r="D61" s="17" t="s">
        <v>202</v>
      </c>
      <c r="E61" s="17" t="s">
        <v>202</v>
      </c>
      <c r="F61" s="17" t="s">
        <v>201</v>
      </c>
    </row>
    <row r="62" customFormat="false" ht="14.25" hidden="false" customHeight="true" outlineLevel="0" collapsed="false">
      <c r="A62" s="17" t="e">
        <f aca="false">VLOOKUP(B62,Feuil1!A:B,2,FALSE())</f>
        <v>#N/A</v>
      </c>
      <c r="B62" s="17" t="s">
        <v>776</v>
      </c>
      <c r="C62" s="17" t="s">
        <v>917</v>
      </c>
      <c r="D62" s="17" t="s">
        <v>917</v>
      </c>
      <c r="E62" s="17" t="s">
        <v>918</v>
      </c>
      <c r="F62" s="17" t="s">
        <v>919</v>
      </c>
    </row>
    <row r="63" customFormat="false" ht="14.25" hidden="false" customHeight="true" outlineLevel="0" collapsed="false">
      <c r="A63" s="17" t="e">
        <f aca="false">VLOOKUP(B63,Feuil1!A:B,2,FALSE())</f>
        <v>#N/A</v>
      </c>
      <c r="B63" s="17" t="s">
        <v>920</v>
      </c>
      <c r="C63" s="17" t="s">
        <v>921</v>
      </c>
      <c r="D63" s="17" t="s">
        <v>921</v>
      </c>
      <c r="E63" s="17" t="s">
        <v>922</v>
      </c>
      <c r="F63" s="17" t="s">
        <v>923</v>
      </c>
    </row>
    <row r="64" customFormat="false" ht="14.25" hidden="false" customHeight="true" outlineLevel="0" collapsed="false">
      <c r="A64" s="17" t="e">
        <f aca="false">VLOOKUP(B64,Feuil1!A:B,2,FALSE())</f>
        <v>#N/A</v>
      </c>
      <c r="B64" s="17" t="s">
        <v>924</v>
      </c>
      <c r="C64" s="17" t="s">
        <v>925</v>
      </c>
      <c r="D64" s="17" t="s">
        <v>925</v>
      </c>
      <c r="E64" s="17" t="s">
        <v>925</v>
      </c>
      <c r="F64" s="17" t="s">
        <v>926</v>
      </c>
    </row>
    <row r="65" customFormat="false" ht="14.25" hidden="false" customHeight="true" outlineLevel="0" collapsed="false">
      <c r="A65" s="17" t="e">
        <f aca="false">VLOOKUP(B65,Feuil1!A:B,2,FALSE())</f>
        <v>#N/A</v>
      </c>
      <c r="B65" s="17" t="s">
        <v>927</v>
      </c>
      <c r="C65" s="17" t="s">
        <v>928</v>
      </c>
      <c r="D65" s="17" t="s">
        <v>928</v>
      </c>
      <c r="E65" s="17" t="s">
        <v>929</v>
      </c>
      <c r="F65" s="17" t="s">
        <v>930</v>
      </c>
    </row>
    <row r="66" customFormat="false" ht="14.25" hidden="false" customHeight="true" outlineLevel="0" collapsed="false">
      <c r="A66" s="17" t="e">
        <f aca="false">VLOOKUP(B66,Feuil1!A:B,2,FALSE())</f>
        <v>#N/A</v>
      </c>
      <c r="B66" s="17" t="s">
        <v>931</v>
      </c>
      <c r="C66" s="17" t="s">
        <v>932</v>
      </c>
      <c r="D66" s="17" t="s">
        <v>932</v>
      </c>
      <c r="E66" s="17" t="s">
        <v>932</v>
      </c>
      <c r="F66" s="17" t="s">
        <v>933</v>
      </c>
    </row>
    <row r="67" customFormat="false" ht="14.25" hidden="false" customHeight="true" outlineLevel="0" collapsed="false">
      <c r="A67" s="17" t="str">
        <f aca="false">VLOOKUP(B67,Feuil1!A:B,2,FALSE())</f>
        <v>District - Résultat du PCR</v>
      </c>
      <c r="B67" s="17" t="s">
        <v>651</v>
      </c>
      <c r="C67" s="17" t="s">
        <v>342</v>
      </c>
      <c r="D67" s="17" t="s">
        <v>342</v>
      </c>
      <c r="E67" s="17" t="s">
        <v>342</v>
      </c>
      <c r="F67" s="17" t="s">
        <v>341</v>
      </c>
    </row>
    <row r="68" customFormat="false" ht="14.25" hidden="false" customHeight="true" outlineLevel="0" collapsed="false">
      <c r="A68" s="17" t="str">
        <f aca="false">VLOOKUP(B68,Feuil1!A:B,2,FALSE())</f>
        <v>District - Résultat du PCR</v>
      </c>
      <c r="B68" s="17" t="s">
        <v>651</v>
      </c>
      <c r="C68" s="17" t="s">
        <v>230</v>
      </c>
      <c r="D68" s="17" t="s">
        <v>230</v>
      </c>
      <c r="E68" s="17" t="s">
        <v>910</v>
      </c>
      <c r="F68" s="17" t="s">
        <v>232</v>
      </c>
    </row>
    <row r="69" customFormat="false" ht="14.25" hidden="false" customHeight="true" outlineLevel="0" collapsed="false">
      <c r="A69" s="17" t="str">
        <f aca="false">VLOOKUP(B69,Feuil1!A:B,2,FALSE())</f>
        <v>District - Résultat du PCR</v>
      </c>
      <c r="B69" s="17" t="s">
        <v>651</v>
      </c>
      <c r="C69" s="17" t="s">
        <v>364</v>
      </c>
      <c r="D69" s="17" t="s">
        <v>364</v>
      </c>
      <c r="E69" s="17" t="s">
        <v>934</v>
      </c>
      <c r="F69" s="17" t="s">
        <v>367</v>
      </c>
    </row>
    <row r="70" customFormat="false" ht="14.25" hidden="false" customHeight="true" outlineLevel="0" collapsed="false">
      <c r="A70" s="17" t="e">
        <f aca="false">VLOOKUP(B70,Feuil1!A:B,2,FALSE())</f>
        <v>#N/A</v>
      </c>
      <c r="B70" s="17" t="s">
        <v>935</v>
      </c>
      <c r="C70" s="17" t="s">
        <v>936</v>
      </c>
      <c r="D70" s="17" t="s">
        <v>936</v>
      </c>
      <c r="E70" s="17" t="s">
        <v>814</v>
      </c>
      <c r="F70" s="17" t="s">
        <v>937</v>
      </c>
    </row>
    <row r="71" customFormat="false" ht="14.25" hidden="false" customHeight="true" outlineLevel="0" collapsed="false">
      <c r="A71" s="17" t="e">
        <f aca="false">VLOOKUP(B71,Feuil1!A:B,2,FALSE())</f>
        <v>#N/A</v>
      </c>
      <c r="B71" s="17" t="s">
        <v>938</v>
      </c>
      <c r="C71" s="17" t="s">
        <v>939</v>
      </c>
      <c r="D71" s="17" t="s">
        <v>939</v>
      </c>
      <c r="E71" s="17" t="s">
        <v>940</v>
      </c>
      <c r="F71" s="17" t="s">
        <v>941</v>
      </c>
    </row>
    <row r="72" customFormat="false" ht="14.25" hidden="false" customHeight="true" outlineLevel="0" collapsed="false">
      <c r="A72" s="17" t="e">
        <f aca="false">VLOOKUP(B72,Feuil1!A:B,2,FALSE())</f>
        <v>#N/A</v>
      </c>
      <c r="B72" s="17" t="s">
        <v>810</v>
      </c>
      <c r="C72" s="17" t="s">
        <v>942</v>
      </c>
      <c r="D72" s="17" t="s">
        <v>942</v>
      </c>
      <c r="E72" s="17" t="s">
        <v>942</v>
      </c>
      <c r="F72" s="17" t="s">
        <v>943</v>
      </c>
    </row>
    <row r="73" customFormat="false" ht="14.25" hidden="false" customHeight="true" outlineLevel="0" collapsed="false">
      <c r="A73" s="17" t="e">
        <f aca="false">VLOOKUP(B73,Feuil1!A:B,2,FALSE())</f>
        <v>#N/A</v>
      </c>
      <c r="B73" s="17" t="s">
        <v>944</v>
      </c>
      <c r="C73" s="17" t="s">
        <v>945</v>
      </c>
      <c r="D73" s="17" t="s">
        <v>945</v>
      </c>
      <c r="E73" s="17" t="s">
        <v>945</v>
      </c>
      <c r="F73" s="17" t="s">
        <v>946</v>
      </c>
    </row>
    <row r="74" customFormat="false" ht="14.25" hidden="false" customHeight="true" outlineLevel="0" collapsed="false">
      <c r="A74" s="17" t="str">
        <f aca="false">VLOOKUP(B74,Feuil1!A:B,2,FALSE())</f>
        <v>District - Résultat de la coloration de Gram</v>
      </c>
      <c r="B74" s="17" t="s">
        <v>571</v>
      </c>
      <c r="C74" s="17" t="s">
        <v>259</v>
      </c>
      <c r="D74" s="17" t="s">
        <v>259</v>
      </c>
      <c r="E74" s="17" t="s">
        <v>259</v>
      </c>
      <c r="F74" s="17" t="s">
        <v>258</v>
      </c>
    </row>
    <row r="75" customFormat="false" ht="14.25" hidden="false" customHeight="true" outlineLevel="0" collapsed="false">
      <c r="A75" s="17" t="e">
        <f aca="false">VLOOKUP(B75,Feuil1!A:B,2,FALSE())</f>
        <v>#N/A</v>
      </c>
      <c r="B75" s="17" t="s">
        <v>796</v>
      </c>
      <c r="C75" s="17" t="s">
        <v>947</v>
      </c>
      <c r="D75" s="17" t="s">
        <v>947</v>
      </c>
      <c r="E75" s="17" t="s">
        <v>947</v>
      </c>
      <c r="F75" s="17" t="s">
        <v>948</v>
      </c>
    </row>
    <row r="76" customFormat="false" ht="14.25" hidden="false" customHeight="true" outlineLevel="0" collapsed="false">
      <c r="A76" s="17" t="str">
        <f aca="false">VLOOKUP(B76,Feuil1!A:B,2,FALSE())</f>
        <v>District - Nom du laboratoire</v>
      </c>
      <c r="B76" s="17" t="s">
        <v>541</v>
      </c>
      <c r="C76" s="17" t="s">
        <v>416</v>
      </c>
      <c r="D76" s="17" t="s">
        <v>416</v>
      </c>
      <c r="E76" s="17" t="s">
        <v>416</v>
      </c>
      <c r="F76" s="17" t="s">
        <v>415</v>
      </c>
    </row>
    <row r="77" customFormat="false" ht="14.25" hidden="false" customHeight="true" outlineLevel="0" collapsed="false">
      <c r="A77" s="17" t="e">
        <f aca="false">VLOOKUP(B77,Feuil1!A:B,2,FALSE())</f>
        <v>#N/A</v>
      </c>
      <c r="B77" s="17" t="s">
        <v>920</v>
      </c>
      <c r="C77" s="17" t="s">
        <v>949</v>
      </c>
      <c r="D77" s="17" t="s">
        <v>949</v>
      </c>
      <c r="E77" s="17" t="s">
        <v>950</v>
      </c>
      <c r="F77" s="17" t="s">
        <v>951</v>
      </c>
    </row>
    <row r="78" customFormat="false" ht="14.25" hidden="false" customHeight="true" outlineLevel="0" collapsed="false">
      <c r="A78" s="17" t="e">
        <f aca="false">VLOOKUP(B78,Feuil1!A:B,2,FALSE())</f>
        <v>#N/A</v>
      </c>
      <c r="B78" s="17" t="s">
        <v>952</v>
      </c>
      <c r="C78" s="17" t="s">
        <v>953</v>
      </c>
      <c r="D78" s="17" t="s">
        <v>953</v>
      </c>
      <c r="E78" s="17" t="s">
        <v>953</v>
      </c>
      <c r="F78" s="17" t="s">
        <v>954</v>
      </c>
    </row>
    <row r="79" customFormat="false" ht="14.25" hidden="false" customHeight="true" outlineLevel="0" collapsed="false">
      <c r="A79" s="17" t="e">
        <f aca="false">VLOOKUP(B79,Feuil1!A:B,2,FALSE())</f>
        <v>#N/A</v>
      </c>
      <c r="B79" s="17" t="s">
        <v>955</v>
      </c>
      <c r="C79" s="17" t="s">
        <v>956</v>
      </c>
      <c r="D79" s="17" t="s">
        <v>956</v>
      </c>
      <c r="E79" s="17" t="s">
        <v>956</v>
      </c>
      <c r="F79" s="17" t="s">
        <v>957</v>
      </c>
    </row>
    <row r="80" customFormat="false" ht="14.25" hidden="false" customHeight="true" outlineLevel="0" collapsed="false">
      <c r="A80" s="17" t="e">
        <f aca="false">VLOOKUP(B80,Feuil1!A:B,2,FALSE())</f>
        <v>#N/A</v>
      </c>
      <c r="B80" s="17" t="s">
        <v>958</v>
      </c>
      <c r="C80" s="17" t="s">
        <v>959</v>
      </c>
      <c r="D80" s="17" t="s">
        <v>959</v>
      </c>
      <c r="E80" s="17" t="s">
        <v>959</v>
      </c>
      <c r="F80" s="17" t="s">
        <v>960</v>
      </c>
    </row>
    <row r="81" customFormat="false" ht="14.25" hidden="false" customHeight="true" outlineLevel="0" collapsed="false">
      <c r="A81" s="17" t="e">
        <f aca="false">VLOOKUP(B81,Feuil1!A:B,2,FALSE())</f>
        <v>#N/A</v>
      </c>
      <c r="B81" s="17" t="s">
        <v>961</v>
      </c>
      <c r="C81" s="17" t="s">
        <v>962</v>
      </c>
      <c r="D81" s="17" t="s">
        <v>962</v>
      </c>
      <c r="E81" s="17" t="s">
        <v>963</v>
      </c>
      <c r="F81" s="17" t="s">
        <v>964</v>
      </c>
    </row>
    <row r="82" customFormat="false" ht="14.25" hidden="false" customHeight="true" outlineLevel="0" collapsed="false">
      <c r="A82" s="17" t="e">
        <f aca="false">VLOOKUP(B82,Feuil1!A:B,2,FALSE())</f>
        <v>#N/A</v>
      </c>
      <c r="B82" s="17" t="s">
        <v>844</v>
      </c>
      <c r="C82" s="17" t="s">
        <v>375</v>
      </c>
      <c r="D82" s="17" t="s">
        <v>375</v>
      </c>
      <c r="E82" s="17" t="s">
        <v>375</v>
      </c>
      <c r="F82" s="17" t="s">
        <v>965</v>
      </c>
    </row>
    <row r="83" customFormat="false" ht="14.25" hidden="false" customHeight="true" outlineLevel="0" collapsed="false">
      <c r="A83" s="17" t="str">
        <f aca="false">VLOOKUP(B83,Feuil1!A:B,2,FALSE())</f>
        <v>District - Résultat final du laboratoire</v>
      </c>
      <c r="B83" s="17" t="s">
        <v>505</v>
      </c>
      <c r="C83" s="17" t="s">
        <v>355</v>
      </c>
      <c r="D83" s="17" t="s">
        <v>355</v>
      </c>
      <c r="E83" s="17" t="s">
        <v>966</v>
      </c>
      <c r="F83" s="17" t="s">
        <v>354</v>
      </c>
    </row>
    <row r="84" customFormat="false" ht="14.25" hidden="false" customHeight="true" outlineLevel="0" collapsed="false">
      <c r="A84" s="17" t="e">
        <f aca="false">VLOOKUP(B84,Feuil1!A:B,2,FALSE())</f>
        <v>#N/A</v>
      </c>
      <c r="B84" s="17" t="s">
        <v>810</v>
      </c>
      <c r="C84" s="17" t="s">
        <v>967</v>
      </c>
      <c r="D84" s="17" t="s">
        <v>967</v>
      </c>
      <c r="E84" s="17" t="s">
        <v>967</v>
      </c>
      <c r="F84" s="17" t="s">
        <v>968</v>
      </c>
    </row>
    <row r="85" customFormat="false" ht="14.25" hidden="false" customHeight="true" outlineLevel="0" collapsed="false">
      <c r="A85" s="17" t="e">
        <f aca="false">VLOOKUP(B85,Feuil1!A:B,2,FALSE())</f>
        <v>#N/A</v>
      </c>
      <c r="B85" s="17" t="s">
        <v>969</v>
      </c>
      <c r="C85" s="17" t="s">
        <v>970</v>
      </c>
      <c r="D85" s="17" t="s">
        <v>970</v>
      </c>
      <c r="E85" s="17" t="s">
        <v>971</v>
      </c>
      <c r="F85" s="17" t="s">
        <v>972</v>
      </c>
    </row>
    <row r="86" customFormat="false" ht="14.25" hidden="false" customHeight="true" outlineLevel="0" collapsed="false">
      <c r="A86" s="17" t="str">
        <f aca="false">VLOOKUP(B86,Feuil1!A:B,2,FALSE())</f>
        <v>District - sérotype S. pneumoniae</v>
      </c>
      <c r="B86" s="17" t="s">
        <v>545</v>
      </c>
      <c r="C86" s="17" t="s">
        <v>153</v>
      </c>
      <c r="D86" s="17" t="s">
        <v>153</v>
      </c>
      <c r="E86" s="17" t="s">
        <v>153</v>
      </c>
      <c r="F86" s="17" t="s">
        <v>152</v>
      </c>
    </row>
    <row r="87" customFormat="false" ht="14.25" hidden="false" customHeight="true" outlineLevel="0" collapsed="false">
      <c r="A87" s="17" t="e">
        <f aca="false">VLOOKUP(B87,Feuil1!A:B,2,FALSE())</f>
        <v>#N/A</v>
      </c>
      <c r="B87" s="17" t="s">
        <v>973</v>
      </c>
      <c r="C87" s="17" t="s">
        <v>974</v>
      </c>
      <c r="D87" s="17" t="s">
        <v>974</v>
      </c>
      <c r="E87" s="17" t="s">
        <v>375</v>
      </c>
      <c r="F87" s="17" t="s">
        <v>975</v>
      </c>
    </row>
    <row r="88" customFormat="false" ht="14.25" hidden="false" customHeight="true" outlineLevel="0" collapsed="false">
      <c r="A88" s="17" t="e">
        <f aca="false">VLOOKUP(B88,Feuil1!A:B,2,FALSE())</f>
        <v>#N/A</v>
      </c>
      <c r="B88" s="17" t="s">
        <v>958</v>
      </c>
      <c r="C88" s="17" t="s">
        <v>976</v>
      </c>
      <c r="D88" s="17" t="s">
        <v>976</v>
      </c>
      <c r="E88" s="17" t="s">
        <v>976</v>
      </c>
      <c r="F88" s="17" t="s">
        <v>977</v>
      </c>
    </row>
    <row r="89" customFormat="false" ht="14.25" hidden="false" customHeight="true" outlineLevel="0" collapsed="false">
      <c r="A89" s="17" t="str">
        <f aca="false">VLOOKUP(B89,Feuil1!A:B,2,FALSE())</f>
        <v>Patients hospitalisés/non hospitalisés</v>
      </c>
      <c r="B89" s="17" t="s">
        <v>613</v>
      </c>
      <c r="C89" s="17" t="s">
        <v>290</v>
      </c>
      <c r="D89" s="17" t="s">
        <v>290</v>
      </c>
      <c r="E89" s="17" t="s">
        <v>290</v>
      </c>
      <c r="F89" s="17" t="s">
        <v>289</v>
      </c>
    </row>
    <row r="90" customFormat="false" ht="14.25" hidden="false" customHeight="true" outlineLevel="0" collapsed="false">
      <c r="A90" s="17" t="e">
        <f aca="false">VLOOKUP(B90,Feuil1!A:B,2,FALSE())</f>
        <v>#N/A</v>
      </c>
      <c r="B90" s="17" t="s">
        <v>833</v>
      </c>
      <c r="C90" s="17" t="s">
        <v>978</v>
      </c>
      <c r="D90" s="17" t="s">
        <v>978</v>
      </c>
      <c r="E90" s="17" t="s">
        <v>978</v>
      </c>
      <c r="F90" s="17" t="s">
        <v>979</v>
      </c>
    </row>
    <row r="91" customFormat="false" ht="14.25" hidden="false" customHeight="true" outlineLevel="0" collapsed="false">
      <c r="A91" s="17" t="e">
        <f aca="false">VLOOKUP(B91,Feuil1!A:B,2,FALSE())</f>
        <v>#N/A</v>
      </c>
      <c r="B91" s="17" t="s">
        <v>776</v>
      </c>
      <c r="C91" s="17" t="s">
        <v>980</v>
      </c>
      <c r="D91" s="17" t="s">
        <v>980</v>
      </c>
      <c r="E91" s="17" t="s">
        <v>981</v>
      </c>
      <c r="F91" s="17" t="s">
        <v>982</v>
      </c>
    </row>
    <row r="92" customFormat="false" ht="14.25" hidden="false" customHeight="true" outlineLevel="0" collapsed="false">
      <c r="A92" s="17" t="e">
        <f aca="false">VLOOKUP(B92,Feuil1!A:B,2,FALSE())</f>
        <v>#N/A</v>
      </c>
      <c r="B92" s="17" t="s">
        <v>873</v>
      </c>
      <c r="C92" s="17" t="s">
        <v>983</v>
      </c>
      <c r="D92" s="17" t="s">
        <v>983</v>
      </c>
      <c r="E92" s="17" t="s">
        <v>984</v>
      </c>
      <c r="F92" s="17" t="s">
        <v>985</v>
      </c>
    </row>
    <row r="93" customFormat="false" ht="14.25" hidden="false" customHeight="true" outlineLevel="0" collapsed="false">
      <c r="A93" s="17" t="str">
        <f aca="false">VLOOKUP(B93,Feuil1!A:B,2,FALSE())</f>
        <v>District - sérotype S. pneumoniae</v>
      </c>
      <c r="B93" s="17" t="s">
        <v>545</v>
      </c>
      <c r="C93" s="17" t="s">
        <v>147</v>
      </c>
      <c r="D93" s="17" t="s">
        <v>147</v>
      </c>
      <c r="E93" s="17" t="s">
        <v>147</v>
      </c>
      <c r="F93" s="17" t="s">
        <v>146</v>
      </c>
    </row>
    <row r="94" customFormat="false" ht="14.25" hidden="false" customHeight="true" outlineLevel="0" collapsed="false">
      <c r="A94" s="17" t="str">
        <f aca="false">VLOOKUP(B94,Feuil1!A:B,2,FALSE())</f>
        <v>Devenir du patient</v>
      </c>
      <c r="B94" s="17" t="s">
        <v>503</v>
      </c>
      <c r="C94" s="17" t="s">
        <v>431</v>
      </c>
      <c r="D94" s="17" t="s">
        <v>431</v>
      </c>
      <c r="E94" s="17" t="s">
        <v>986</v>
      </c>
      <c r="F94" s="17" t="s">
        <v>430</v>
      </c>
    </row>
    <row r="95" customFormat="false" ht="14.25" hidden="false" customHeight="true" outlineLevel="0" collapsed="false">
      <c r="A95" s="17" t="e">
        <f aca="false">VLOOKUP(B95,Feuil1!A:B,2,FALSE())</f>
        <v>#N/A</v>
      </c>
      <c r="B95" s="17" t="s">
        <v>865</v>
      </c>
      <c r="C95" s="17" t="s">
        <v>987</v>
      </c>
      <c r="D95" s="17" t="s">
        <v>987</v>
      </c>
      <c r="E95" s="17" t="s">
        <v>987</v>
      </c>
      <c r="F95" s="17" t="s">
        <v>988</v>
      </c>
    </row>
    <row r="96" customFormat="false" ht="14.25" hidden="false" customHeight="true" outlineLevel="0" collapsed="false">
      <c r="A96" s="17" t="e">
        <f aca="false">VLOOKUP(B96,Feuil1!A:B,2,FALSE())</f>
        <v>#N/A</v>
      </c>
      <c r="B96" s="17" t="s">
        <v>776</v>
      </c>
      <c r="C96" s="17" t="s">
        <v>989</v>
      </c>
      <c r="D96" s="17" t="s">
        <v>989</v>
      </c>
      <c r="E96" s="17" t="s">
        <v>990</v>
      </c>
      <c r="F96" s="17" t="s">
        <v>991</v>
      </c>
    </row>
    <row r="97" customFormat="false" ht="14.25" hidden="false" customHeight="true" outlineLevel="0" collapsed="false">
      <c r="A97" s="17" t="e">
        <f aca="false">VLOOKUP(B97,Feuil1!A:B,2,FALSE())</f>
        <v>#N/A</v>
      </c>
      <c r="B97" s="17" t="s">
        <v>992</v>
      </c>
      <c r="C97" s="17" t="s">
        <v>993</v>
      </c>
      <c r="D97" s="17" t="s">
        <v>993</v>
      </c>
      <c r="E97" s="17" t="s">
        <v>993</v>
      </c>
      <c r="F97" s="17" t="s">
        <v>994</v>
      </c>
    </row>
    <row r="98" customFormat="false" ht="14.25" hidden="false" customHeight="true" outlineLevel="0" collapsed="false">
      <c r="A98" s="17" t="e">
        <f aca="false">VLOOKUP(B98,Feuil1!A:B,2,FALSE())</f>
        <v>#N/A</v>
      </c>
      <c r="B98" s="17" t="s">
        <v>958</v>
      </c>
      <c r="C98" s="17" t="s">
        <v>995</v>
      </c>
      <c r="D98" s="17" t="s">
        <v>995</v>
      </c>
      <c r="E98" s="17" t="s">
        <v>995</v>
      </c>
      <c r="F98" s="17" t="s">
        <v>996</v>
      </c>
    </row>
    <row r="99" customFormat="false" ht="14.25" hidden="false" customHeight="true" outlineLevel="0" collapsed="false">
      <c r="A99" s="17" t="e">
        <f aca="false">VLOOKUP(B99,Feuil1!A:B,2,FALSE())</f>
        <v>#N/A</v>
      </c>
      <c r="B99" s="17" t="s">
        <v>997</v>
      </c>
      <c r="C99" s="17" t="s">
        <v>375</v>
      </c>
      <c r="D99" s="17" t="s">
        <v>375</v>
      </c>
      <c r="E99" s="17" t="s">
        <v>375</v>
      </c>
      <c r="F99" s="17" t="s">
        <v>998</v>
      </c>
    </row>
    <row r="100" customFormat="false" ht="14.25" hidden="false" customHeight="true" outlineLevel="0" collapsed="false">
      <c r="A100" s="17" t="str">
        <f aca="false">VLOOKUP(B100,Feuil1!A:B,2,FALSE())</f>
        <v>Type d'échantillon</v>
      </c>
      <c r="B100" s="17" t="s">
        <v>529</v>
      </c>
      <c r="C100" s="17" t="s">
        <v>375</v>
      </c>
      <c r="D100" s="17" t="s">
        <v>375</v>
      </c>
      <c r="E100" s="17" t="s">
        <v>375</v>
      </c>
      <c r="F100" s="17" t="s">
        <v>374</v>
      </c>
    </row>
    <row r="101" customFormat="false" ht="14.25" hidden="false" customHeight="true" outlineLevel="0" collapsed="false">
      <c r="A101" s="17" t="e">
        <f aca="false">VLOOKUP(B101,Feuil1!A:B,2,FALSE())</f>
        <v>#N/A</v>
      </c>
      <c r="B101" s="17" t="s">
        <v>819</v>
      </c>
      <c r="C101" s="17" t="s">
        <v>999</v>
      </c>
      <c r="D101" s="17" t="s">
        <v>999</v>
      </c>
      <c r="E101" s="17" t="s">
        <v>999</v>
      </c>
      <c r="F101" s="17" t="s">
        <v>1000</v>
      </c>
    </row>
    <row r="102" customFormat="false" ht="14.25" hidden="false" customHeight="true" outlineLevel="0" collapsed="false">
      <c r="A102" s="17" t="e">
        <f aca="false">VLOOKUP(B102,Feuil1!A:B,2,FALSE())</f>
        <v>#N/A</v>
      </c>
      <c r="B102" s="17" t="s">
        <v>776</v>
      </c>
      <c r="C102" s="17" t="s">
        <v>1001</v>
      </c>
      <c r="D102" s="17" t="s">
        <v>1001</v>
      </c>
      <c r="E102" s="17" t="s">
        <v>1002</v>
      </c>
      <c r="F102" s="17" t="s">
        <v>1003</v>
      </c>
    </row>
    <row r="103" customFormat="false" ht="14.25" hidden="false" customHeight="true" outlineLevel="0" collapsed="false">
      <c r="A103" s="17" t="e">
        <f aca="false">VLOOKUP(B103,Feuil1!A:B,2,FALSE())</f>
        <v>#N/A</v>
      </c>
      <c r="B103" s="17" t="s">
        <v>938</v>
      </c>
      <c r="C103" s="17" t="s">
        <v>463</v>
      </c>
      <c r="D103" s="17" t="s">
        <v>463</v>
      </c>
      <c r="E103" s="17" t="s">
        <v>463</v>
      </c>
      <c r="F103" s="17" t="s">
        <v>1004</v>
      </c>
    </row>
    <row r="104" customFormat="false" ht="14.25" hidden="false" customHeight="true" outlineLevel="0" collapsed="false">
      <c r="A104" s="17" t="str">
        <f aca="false">VLOOKUP(B104,Feuil1!A:B,2,FALSE())</f>
        <v>District - Résultat final du laboratoire</v>
      </c>
      <c r="B104" s="17" t="s">
        <v>505</v>
      </c>
      <c r="C104" s="17" t="s">
        <v>230</v>
      </c>
      <c r="D104" s="17" t="s">
        <v>230</v>
      </c>
      <c r="E104" s="17" t="s">
        <v>910</v>
      </c>
      <c r="F104" s="17" t="s">
        <v>229</v>
      </c>
    </row>
    <row r="105" customFormat="false" ht="14.25" hidden="false" customHeight="true" outlineLevel="0" collapsed="false">
      <c r="A105" s="17" t="str">
        <f aca="false">VLOOKUP(B105,Feuil1!A:B,2,FALSE())</f>
        <v>District - Aspect de l'échantillon / examen macroscopique (LCR)</v>
      </c>
      <c r="B105" s="17" t="s">
        <v>595</v>
      </c>
      <c r="C105" s="17" t="s">
        <v>493</v>
      </c>
      <c r="D105" s="17" t="s">
        <v>493</v>
      </c>
      <c r="E105" s="17" t="s">
        <v>493</v>
      </c>
      <c r="F105" s="17" t="s">
        <v>492</v>
      </c>
    </row>
    <row r="106" customFormat="false" ht="14.25" hidden="false" customHeight="true" outlineLevel="0" collapsed="false">
      <c r="A106" s="17" t="str">
        <f aca="false">VLOOKUP(B106,Feuil1!A:B,2,FALSE())</f>
        <v>District - sérotype S. pneumoniae</v>
      </c>
      <c r="B106" s="17" t="s">
        <v>545</v>
      </c>
      <c r="C106" s="17" t="s">
        <v>162</v>
      </c>
      <c r="D106" s="17" t="s">
        <v>162</v>
      </c>
      <c r="E106" s="17" t="s">
        <v>162</v>
      </c>
      <c r="F106" s="17" t="s">
        <v>161</v>
      </c>
    </row>
    <row r="107" customFormat="false" ht="14.25" hidden="false" customHeight="true" outlineLevel="0" collapsed="false">
      <c r="A107" s="17" t="str">
        <f aca="false">VLOOKUP(B107,Feuil1!A:B,2,FALSE())</f>
        <v>District - sérotype S. pneumoniae</v>
      </c>
      <c r="B107" s="17" t="s">
        <v>545</v>
      </c>
      <c r="C107" s="17" t="n">
        <v>3</v>
      </c>
      <c r="D107" s="17" t="n">
        <v>3</v>
      </c>
      <c r="E107" s="17" t="n">
        <v>3</v>
      </c>
      <c r="F107" s="17" t="s">
        <v>118</v>
      </c>
    </row>
    <row r="108" customFormat="false" ht="14.25" hidden="false" customHeight="true" outlineLevel="0" collapsed="false">
      <c r="A108" s="17" t="e">
        <f aca="false">VLOOKUP(B108,Feuil1!A:B,2,FALSE())</f>
        <v>#N/A</v>
      </c>
      <c r="B108" s="17" t="s">
        <v>931</v>
      </c>
      <c r="C108" s="17" t="s">
        <v>1005</v>
      </c>
      <c r="D108" s="17" t="s">
        <v>1005</v>
      </c>
      <c r="E108" s="17" t="s">
        <v>1005</v>
      </c>
      <c r="F108" s="17" t="s">
        <v>1006</v>
      </c>
    </row>
    <row r="109" customFormat="false" ht="14.25" hidden="false" customHeight="true" outlineLevel="0" collapsed="false">
      <c r="A109" s="17" t="str">
        <f aca="false">VLOOKUP(B109,Feuil1!A:B,2,FALSE())</f>
        <v>District - Résultat final du laboratoire</v>
      </c>
      <c r="B109" s="17" t="s">
        <v>505</v>
      </c>
      <c r="C109" s="17" t="s">
        <v>369</v>
      </c>
      <c r="D109" s="17" t="s">
        <v>369</v>
      </c>
      <c r="E109" s="17" t="s">
        <v>1007</v>
      </c>
      <c r="F109" s="17" t="s">
        <v>368</v>
      </c>
    </row>
    <row r="110" customFormat="false" ht="14.25" hidden="false" customHeight="true" outlineLevel="0" collapsed="false">
      <c r="A110" s="17" t="e">
        <f aca="false">VLOOKUP(B110,Feuil1!A:B,2,FALSE())</f>
        <v>#N/A</v>
      </c>
      <c r="B110" s="17" t="s">
        <v>819</v>
      </c>
      <c r="C110" s="17" t="s">
        <v>1008</v>
      </c>
      <c r="D110" s="17" t="s">
        <v>1008</v>
      </c>
      <c r="E110" s="17" t="s">
        <v>1008</v>
      </c>
      <c r="F110" s="17" t="s">
        <v>1009</v>
      </c>
    </row>
    <row r="111" customFormat="false" ht="14.25" hidden="false" customHeight="true" outlineLevel="0" collapsed="false">
      <c r="A111" s="17" t="e">
        <f aca="false">VLOOKUP(B111,Feuil1!A:B,2,FALSE())</f>
        <v>#N/A</v>
      </c>
      <c r="B111" s="17" t="s">
        <v>865</v>
      </c>
      <c r="C111" s="17" t="s">
        <v>1010</v>
      </c>
      <c r="D111" s="17" t="s">
        <v>1010</v>
      </c>
      <c r="E111" s="17" t="s">
        <v>1010</v>
      </c>
      <c r="F111" s="17" t="s">
        <v>1011</v>
      </c>
    </row>
    <row r="112" customFormat="false" ht="14.25" hidden="false" customHeight="true" outlineLevel="0" collapsed="false">
      <c r="A112" s="17" t="str">
        <f aca="false">VLOOKUP(B112,Feuil1!A:B,2,FALSE())</f>
        <v>Type d'échantillon</v>
      </c>
      <c r="B112" s="17" t="s">
        <v>529</v>
      </c>
      <c r="C112" s="17" t="s">
        <v>297</v>
      </c>
      <c r="D112" s="17" t="s">
        <v>297</v>
      </c>
      <c r="E112" s="17" t="s">
        <v>297</v>
      </c>
      <c r="F112" s="17" t="s">
        <v>296</v>
      </c>
    </row>
    <row r="113" customFormat="false" ht="14.25" hidden="false" customHeight="true" outlineLevel="0" collapsed="false">
      <c r="A113" s="17" t="e">
        <f aca="false">VLOOKUP(B113,Feuil1!A:B,2,FALSE())</f>
        <v>#N/A</v>
      </c>
      <c r="B113" s="17" t="s">
        <v>776</v>
      </c>
      <c r="C113" s="17" t="s">
        <v>282</v>
      </c>
      <c r="D113" s="17" t="s">
        <v>282</v>
      </c>
      <c r="E113" s="17" t="s">
        <v>1012</v>
      </c>
      <c r="F113" s="17" t="s">
        <v>1013</v>
      </c>
    </row>
    <row r="114" customFormat="false" ht="14.25" hidden="false" customHeight="true" outlineLevel="0" collapsed="false">
      <c r="A114" s="17" t="str">
        <f aca="false">VLOOKUP(B114,Feuil1!A:B,2,FALSE())</f>
        <v>District - Aspect de l'échantillon / examen macroscopique (LCR)</v>
      </c>
      <c r="B114" s="17" t="s">
        <v>595</v>
      </c>
      <c r="C114" s="17" t="s">
        <v>184</v>
      </c>
      <c r="D114" s="17" t="s">
        <v>184</v>
      </c>
      <c r="E114" s="17" t="s">
        <v>184</v>
      </c>
      <c r="F114" s="17" t="s">
        <v>183</v>
      </c>
    </row>
    <row r="115" customFormat="false" ht="14.25" hidden="false" customHeight="true" outlineLevel="0" collapsed="false">
      <c r="A115" s="17" t="str">
        <f aca="false">VLOOKUP(B115,Feuil1!A:B,2,FALSE())</f>
        <v>District - sérotype S. pneumoniae</v>
      </c>
      <c r="B115" s="17" t="s">
        <v>545</v>
      </c>
      <c r="C115" s="17" t="s">
        <v>98</v>
      </c>
      <c r="D115" s="17" t="s">
        <v>98</v>
      </c>
      <c r="E115" s="17" t="s">
        <v>98</v>
      </c>
      <c r="F115" s="17" t="s">
        <v>97</v>
      </c>
    </row>
    <row r="116" customFormat="false" ht="14.25" hidden="false" customHeight="true" outlineLevel="0" collapsed="false">
      <c r="A116" s="17" t="str">
        <f aca="false">VLOOKUP(B116,Feuil1!A:B,2,FALSE())</f>
        <v>District - Sensibilité à la ceftriaxone</v>
      </c>
      <c r="B116" s="17" t="s">
        <v>579</v>
      </c>
      <c r="C116" s="17" t="s">
        <v>428</v>
      </c>
      <c r="D116" s="17" t="s">
        <v>428</v>
      </c>
      <c r="E116" s="17" t="s">
        <v>46</v>
      </c>
      <c r="F116" s="17" t="s">
        <v>47</v>
      </c>
    </row>
    <row r="117" customFormat="false" ht="14.25" hidden="false" customHeight="true" outlineLevel="0" collapsed="false">
      <c r="A117" s="17" t="str">
        <f aca="false">VLOOKUP(B117,Feuil1!A:B,2,FALSE())</f>
        <v>Suivi / niveau laboratoire</v>
      </c>
      <c r="B117" s="17" t="s">
        <v>655</v>
      </c>
      <c r="C117" s="17" t="s">
        <v>305</v>
      </c>
      <c r="D117" s="17" t="s">
        <v>305</v>
      </c>
      <c r="E117" s="17" t="s">
        <v>305</v>
      </c>
      <c r="F117" s="17" t="s">
        <v>304</v>
      </c>
    </row>
    <row r="118" customFormat="false" ht="14.25" hidden="false" customHeight="true" outlineLevel="0" collapsed="false">
      <c r="A118" s="17" t="str">
        <f aca="false">VLOOKUP(B118,Feuil1!A:B,2,FALSE())</f>
        <v>District - sérotype S. pneumoniae</v>
      </c>
      <c r="B118" s="17" t="s">
        <v>545</v>
      </c>
      <c r="C118" s="17" t="s">
        <v>158</v>
      </c>
      <c r="D118" s="17" t="s">
        <v>158</v>
      </c>
      <c r="E118" s="17" t="s">
        <v>158</v>
      </c>
      <c r="F118" s="17" t="s">
        <v>157</v>
      </c>
    </row>
    <row r="119" customFormat="false" ht="14.25" hidden="false" customHeight="true" outlineLevel="0" collapsed="false">
      <c r="A119" s="17" t="str">
        <f aca="false">VLOOKUP(B119,Feuil1!A:B,2,FALSE())</f>
        <v>District - sérotype S. pneumoniae</v>
      </c>
      <c r="B119" s="17" t="s">
        <v>545</v>
      </c>
      <c r="C119" s="17" t="s">
        <v>86</v>
      </c>
      <c r="D119" s="17" t="s">
        <v>86</v>
      </c>
      <c r="E119" s="17" t="s">
        <v>86</v>
      </c>
      <c r="F119" s="17" t="s">
        <v>85</v>
      </c>
    </row>
    <row r="120" customFormat="false" ht="14.25" hidden="false" customHeight="true" outlineLevel="0" collapsed="false">
      <c r="A120" s="17" t="str">
        <f aca="false">VLOOKUP(B120,Feuil1!A:B,2,FALSE())</f>
        <v>District - Résultat final du laboratoire</v>
      </c>
      <c r="B120" s="17" t="s">
        <v>505</v>
      </c>
      <c r="C120" s="17" t="s">
        <v>322</v>
      </c>
      <c r="D120" s="17" t="s">
        <v>322</v>
      </c>
      <c r="E120" s="17" t="s">
        <v>322</v>
      </c>
      <c r="F120" s="17" t="s">
        <v>321</v>
      </c>
    </row>
    <row r="121" customFormat="false" ht="14.25" hidden="false" customHeight="true" outlineLevel="0" collapsed="false">
      <c r="A121" s="17" t="e">
        <f aca="false">VLOOKUP(B121,Feuil1!A:B,2,FALSE())</f>
        <v>#N/A</v>
      </c>
      <c r="B121" s="17" t="s">
        <v>935</v>
      </c>
      <c r="C121" s="17" t="s">
        <v>375</v>
      </c>
      <c r="D121" s="17" t="s">
        <v>375</v>
      </c>
      <c r="E121" s="17" t="s">
        <v>1014</v>
      </c>
      <c r="F121" s="17" t="s">
        <v>1015</v>
      </c>
    </row>
    <row r="122" customFormat="false" ht="14.25" hidden="false" customHeight="true" outlineLevel="0" collapsed="false">
      <c r="A122" s="17" t="e">
        <f aca="false">VLOOKUP(B122,Feuil1!A:B,2,FALSE())</f>
        <v>#N/A</v>
      </c>
      <c r="B122" s="17" t="s">
        <v>1016</v>
      </c>
      <c r="C122" s="17" t="s">
        <v>1017</v>
      </c>
      <c r="D122" s="17" t="s">
        <v>1017</v>
      </c>
      <c r="E122" s="17" t="s">
        <v>1017</v>
      </c>
      <c r="F122" s="17" t="s">
        <v>1018</v>
      </c>
    </row>
    <row r="123" customFormat="false" ht="14.25" hidden="false" customHeight="true" outlineLevel="0" collapsed="false">
      <c r="A123" s="17" t="e">
        <f aca="false">VLOOKUP(B123,Feuil1!A:B,2,FALSE())</f>
        <v>#N/A</v>
      </c>
      <c r="B123" s="17" t="s">
        <v>810</v>
      </c>
      <c r="C123" s="17" t="s">
        <v>1019</v>
      </c>
      <c r="D123" s="17" t="s">
        <v>1019</v>
      </c>
      <c r="E123" s="17" t="s">
        <v>1019</v>
      </c>
      <c r="F123" s="17" t="s">
        <v>1020</v>
      </c>
    </row>
    <row r="124" customFormat="false" ht="14.25" hidden="false" customHeight="true" outlineLevel="0" collapsed="false">
      <c r="A124" s="17" t="e">
        <f aca="false">VLOOKUP(B124,Feuil1!A:B,2,FALSE())</f>
        <v>#N/A</v>
      </c>
      <c r="B124" s="17" t="s">
        <v>944</v>
      </c>
      <c r="C124" s="17" t="s">
        <v>1021</v>
      </c>
      <c r="D124" s="17" t="s">
        <v>1021</v>
      </c>
      <c r="E124" s="17" t="s">
        <v>1021</v>
      </c>
      <c r="F124" s="17" t="s">
        <v>1022</v>
      </c>
    </row>
    <row r="125" customFormat="false" ht="14.25" hidden="false" customHeight="true" outlineLevel="0" collapsed="false">
      <c r="A125" s="17" t="e">
        <f aca="false">VLOOKUP(B125,Feuil1!A:B,2,FALSE())</f>
        <v>#N/A</v>
      </c>
      <c r="B125" s="17" t="s">
        <v>1023</v>
      </c>
      <c r="C125" s="17" t="s">
        <v>403</v>
      </c>
      <c r="D125" s="17" t="s">
        <v>403</v>
      </c>
      <c r="E125" s="17" t="s">
        <v>403</v>
      </c>
      <c r="F125" s="17" t="s">
        <v>1024</v>
      </c>
    </row>
    <row r="126" customFormat="false" ht="14.25" hidden="false" customHeight="true" outlineLevel="0" collapsed="false">
      <c r="A126" s="17" t="str">
        <f aca="false">VLOOKUP(B126,Feuil1!A:B,2,FALSE())</f>
        <v>District - sérotype S. pneumoniae</v>
      </c>
      <c r="B126" s="17" t="s">
        <v>545</v>
      </c>
      <c r="C126" s="17" t="s">
        <v>92</v>
      </c>
      <c r="D126" s="17" t="s">
        <v>92</v>
      </c>
      <c r="E126" s="17" t="s">
        <v>92</v>
      </c>
      <c r="F126" s="17" t="s">
        <v>91</v>
      </c>
    </row>
    <row r="127" customFormat="false" ht="14.25" hidden="false" customHeight="true" outlineLevel="0" collapsed="false">
      <c r="A127" s="17" t="str">
        <f aca="false">VLOOKUP(B127,Feuil1!A:B,2,FALSE())</f>
        <v>District - sérotype S. pneumoniae</v>
      </c>
      <c r="B127" s="17" t="s">
        <v>545</v>
      </c>
      <c r="C127" s="17" t="n">
        <v>34</v>
      </c>
      <c r="D127" s="17" t="n">
        <v>34</v>
      </c>
      <c r="E127" s="17" t="n">
        <v>34</v>
      </c>
      <c r="F127" s="17" t="s">
        <v>124</v>
      </c>
    </row>
    <row r="128" customFormat="false" ht="14.25" hidden="false" customHeight="true" outlineLevel="0" collapsed="false">
      <c r="A128" s="17" t="e">
        <f aca="false">VLOOKUP(B128,Feuil1!A:B,2,FALSE())</f>
        <v>#N/A</v>
      </c>
      <c r="B128" s="17" t="s">
        <v>822</v>
      </c>
      <c r="C128" s="17" t="s">
        <v>1025</v>
      </c>
      <c r="D128" s="17" t="s">
        <v>1025</v>
      </c>
      <c r="E128" s="17" t="s">
        <v>1025</v>
      </c>
      <c r="F128" s="17" t="s">
        <v>1026</v>
      </c>
    </row>
    <row r="129" customFormat="false" ht="14.25" hidden="false" customHeight="true" outlineLevel="0" collapsed="false">
      <c r="A129" s="17" t="e">
        <f aca="false">VLOOKUP(B129,Feuil1!A:B,2,FALSE())</f>
        <v>#N/A</v>
      </c>
      <c r="B129" s="17" t="s">
        <v>1027</v>
      </c>
      <c r="C129" s="17" t="s">
        <v>461</v>
      </c>
      <c r="D129" s="17" t="s">
        <v>461</v>
      </c>
      <c r="E129" s="17" t="s">
        <v>1028</v>
      </c>
      <c r="F129" s="17" t="s">
        <v>1029</v>
      </c>
    </row>
    <row r="130" customFormat="false" ht="14.25" hidden="false" customHeight="true" outlineLevel="0" collapsed="false">
      <c r="A130" s="17" t="str">
        <f aca="false">VLOOKUP(B130,Feuil1!A:B,2,FALSE())</f>
        <v>District - sérotype S. pneumoniae</v>
      </c>
      <c r="B130" s="17" t="s">
        <v>545</v>
      </c>
      <c r="C130" s="17" t="s">
        <v>76</v>
      </c>
      <c r="D130" s="17" t="s">
        <v>76</v>
      </c>
      <c r="E130" s="17" t="s">
        <v>76</v>
      </c>
      <c r="F130" s="17" t="s">
        <v>75</v>
      </c>
    </row>
    <row r="131" customFormat="false" ht="14.25" hidden="false" customHeight="true" outlineLevel="0" collapsed="false">
      <c r="A131" s="17" t="e">
        <f aca="false">VLOOKUP(B131,Feuil1!A:B,2,FALSE())</f>
        <v>#N/A</v>
      </c>
      <c r="B131" s="17" t="s">
        <v>1030</v>
      </c>
      <c r="C131" s="17" t="s">
        <v>1031</v>
      </c>
      <c r="D131" s="17" t="s">
        <v>1031</v>
      </c>
      <c r="E131" s="17" t="s">
        <v>1031</v>
      </c>
      <c r="F131" s="17" t="s">
        <v>1032</v>
      </c>
    </row>
    <row r="132" customFormat="false" ht="14.25" hidden="false" customHeight="true" outlineLevel="0" collapsed="false">
      <c r="A132" s="17" t="str">
        <f aca="false">VLOOKUP(B132,Feuil1!A:B,2,FALSE())</f>
        <v>Type d'échantillon</v>
      </c>
      <c r="B132" s="17" t="s">
        <v>529</v>
      </c>
      <c r="C132" s="17" t="s">
        <v>400</v>
      </c>
      <c r="D132" s="17" t="s">
        <v>400</v>
      </c>
      <c r="E132" s="17" t="s">
        <v>1033</v>
      </c>
      <c r="F132" s="17" t="s">
        <v>399</v>
      </c>
    </row>
    <row r="133" customFormat="false" ht="14.25" hidden="false" customHeight="true" outlineLevel="0" collapsed="false">
      <c r="A133" s="17" t="str">
        <f aca="false">VLOOKUP(B133,Feuil1!A:B,2,FALSE())</f>
        <v>District - sérotype S. pneumoniae</v>
      </c>
      <c r="B133" s="17" t="s">
        <v>545</v>
      </c>
      <c r="C133" s="17" t="s">
        <v>164</v>
      </c>
      <c r="D133" s="17" t="s">
        <v>164</v>
      </c>
      <c r="E133" s="17" t="s">
        <v>164</v>
      </c>
      <c r="F133" s="17" t="s">
        <v>163</v>
      </c>
    </row>
    <row r="134" customFormat="false" ht="14.25" hidden="false" customHeight="true" outlineLevel="0" collapsed="false">
      <c r="A134" s="17" t="str">
        <f aca="false">VLOOKUP(B134,Feuil1!A:B,2,FALSE())</f>
        <v>District - sérotype S. pneumoniae</v>
      </c>
      <c r="B134" s="17" t="s">
        <v>545</v>
      </c>
      <c r="C134" s="17" t="s">
        <v>72</v>
      </c>
      <c r="D134" s="17" t="s">
        <v>72</v>
      </c>
      <c r="E134" s="17" t="s">
        <v>72</v>
      </c>
      <c r="F134" s="17" t="s">
        <v>71</v>
      </c>
    </row>
    <row r="135" customFormat="false" ht="14.25" hidden="false" customHeight="true" outlineLevel="0" collapsed="false">
      <c r="A135" s="17" t="e">
        <f aca="false">VLOOKUP(B135,Feuil1!A:B,2,FALSE())</f>
        <v>#N/A</v>
      </c>
      <c r="B135" s="17" t="s">
        <v>992</v>
      </c>
      <c r="C135" s="17" t="s">
        <v>820</v>
      </c>
      <c r="D135" s="17" t="s">
        <v>820</v>
      </c>
      <c r="E135" s="17" t="s">
        <v>820</v>
      </c>
      <c r="F135" s="17" t="s">
        <v>1034</v>
      </c>
    </row>
    <row r="136" customFormat="false" ht="14.25" hidden="false" customHeight="true" outlineLevel="0" collapsed="false">
      <c r="A136" s="17" t="str">
        <f aca="false">VLOOKUP(B136,Feuil1!A:B,2,FALSE())</f>
        <v>District - sérotype S. pneumoniae</v>
      </c>
      <c r="B136" s="17" t="s">
        <v>545</v>
      </c>
      <c r="C136" s="17" t="s">
        <v>140</v>
      </c>
      <c r="D136" s="17" t="s">
        <v>140</v>
      </c>
      <c r="E136" s="17" t="s">
        <v>140</v>
      </c>
      <c r="F136" s="17" t="s">
        <v>139</v>
      </c>
    </row>
    <row r="137" customFormat="false" ht="14.25" hidden="false" customHeight="true" outlineLevel="0" collapsed="false">
      <c r="A137" s="17" t="str">
        <f aca="false">VLOOKUP(B137,Feuil1!A:B,2,FALSE())</f>
        <v>District - sérotype S. pneumoniae</v>
      </c>
      <c r="B137" s="17" t="s">
        <v>545</v>
      </c>
      <c r="C137" s="17" t="s">
        <v>128</v>
      </c>
      <c r="D137" s="17" t="s">
        <v>128</v>
      </c>
      <c r="E137" s="17" t="s">
        <v>128</v>
      </c>
      <c r="F137" s="17" t="s">
        <v>127</v>
      </c>
    </row>
    <row r="138" customFormat="false" ht="14.25" hidden="false" customHeight="true" outlineLevel="0" collapsed="false">
      <c r="A138" s="17" t="str">
        <f aca="false">VLOOKUP(B138,Feuil1!A:B,2,FALSE())</f>
        <v>District - Résultat final du laboratoire</v>
      </c>
      <c r="B138" s="17" t="s">
        <v>505</v>
      </c>
      <c r="C138" s="17" t="s">
        <v>485</v>
      </c>
      <c r="D138" s="17" t="s">
        <v>485</v>
      </c>
      <c r="E138" s="17" t="s">
        <v>485</v>
      </c>
      <c r="F138" s="17" t="s">
        <v>484</v>
      </c>
    </row>
    <row r="139" customFormat="false" ht="14.25" hidden="false" customHeight="true" outlineLevel="0" collapsed="false">
      <c r="A139" s="17" t="e">
        <f aca="false">VLOOKUP(B139,Feuil1!A:B,2,FALSE())</f>
        <v>#N/A</v>
      </c>
      <c r="B139" s="17" t="s">
        <v>776</v>
      </c>
      <c r="C139" s="17" t="s">
        <v>1035</v>
      </c>
      <c r="D139" s="17" t="s">
        <v>1035</v>
      </c>
      <c r="E139" s="17" t="s">
        <v>1036</v>
      </c>
      <c r="F139" s="17" t="s">
        <v>1037</v>
      </c>
    </row>
    <row r="140" customFormat="false" ht="14.25" hidden="false" customHeight="true" outlineLevel="0" collapsed="false">
      <c r="A140" s="17" t="e">
        <f aca="false">VLOOKUP(B140,Feuil1!A:B,2,FALSE())</f>
        <v>#N/A</v>
      </c>
      <c r="B140" s="17" t="s">
        <v>865</v>
      </c>
      <c r="C140" s="17" t="s">
        <v>307</v>
      </c>
      <c r="D140" s="17" t="s">
        <v>307</v>
      </c>
      <c r="E140" s="17" t="s">
        <v>307</v>
      </c>
      <c r="F140" s="17" t="s">
        <v>1038</v>
      </c>
    </row>
    <row r="141" customFormat="false" ht="14.25" hidden="false" customHeight="true" outlineLevel="0" collapsed="false">
      <c r="A141" s="17" t="e">
        <f aca="false">VLOOKUP(B141,Feuil1!A:B,2,FALSE())</f>
        <v>#N/A</v>
      </c>
      <c r="B141" s="17" t="s">
        <v>802</v>
      </c>
      <c r="C141" s="17" t="s">
        <v>1039</v>
      </c>
      <c r="D141" s="17" t="s">
        <v>1039</v>
      </c>
      <c r="E141" s="17" t="s">
        <v>375</v>
      </c>
      <c r="F141" s="17" t="s">
        <v>1040</v>
      </c>
    </row>
    <row r="142" customFormat="false" ht="14.25" hidden="false" customHeight="true" outlineLevel="0" collapsed="false">
      <c r="A142" s="17" t="str">
        <f aca="false">VLOOKUP(B142,Feuil1!A:B,2,FALSE())</f>
        <v>District - sérotype S. pneumoniae</v>
      </c>
      <c r="B142" s="17" t="s">
        <v>545</v>
      </c>
      <c r="C142" s="17" t="s">
        <v>82</v>
      </c>
      <c r="D142" s="17" t="s">
        <v>82</v>
      </c>
      <c r="E142" s="17" t="s">
        <v>82</v>
      </c>
      <c r="F142" s="17" t="s">
        <v>81</v>
      </c>
    </row>
    <row r="143" customFormat="false" ht="14.25" hidden="false" customHeight="true" outlineLevel="0" collapsed="false">
      <c r="A143" s="17" t="str">
        <f aca="false">VLOOKUP(B143,Feuil1!A:B,2,FALSE())</f>
        <v>Type d'échantillon</v>
      </c>
      <c r="B143" s="17" t="s">
        <v>529</v>
      </c>
      <c r="C143" s="17" t="s">
        <v>467</v>
      </c>
      <c r="D143" s="17" t="s">
        <v>467</v>
      </c>
      <c r="E143" s="17" t="s">
        <v>467</v>
      </c>
      <c r="F143" s="17" t="s">
        <v>466</v>
      </c>
    </row>
    <row r="144" customFormat="false" ht="14.25" hidden="false" customHeight="true" outlineLevel="0" collapsed="false">
      <c r="A144" s="17" t="str">
        <f aca="false">VLOOKUP(B144,Feuil1!A:B,2,FALSE())</f>
        <v>Patients hospitalisés/non hospitalisés</v>
      </c>
      <c r="B144" s="17" t="s">
        <v>613</v>
      </c>
      <c r="C144" s="17" t="s">
        <v>390</v>
      </c>
      <c r="D144" s="17" t="s">
        <v>390</v>
      </c>
      <c r="E144" s="17" t="s">
        <v>390</v>
      </c>
      <c r="F144" s="17" t="s">
        <v>389</v>
      </c>
    </row>
    <row r="145" customFormat="false" ht="14.25" hidden="false" customHeight="true" outlineLevel="0" collapsed="false">
      <c r="A145" s="17" t="e">
        <f aca="false">VLOOKUP(B145,Feuil1!A:B,2,FALSE())</f>
        <v>#N/A</v>
      </c>
      <c r="B145" s="17" t="s">
        <v>836</v>
      </c>
      <c r="C145" s="17" t="s">
        <v>1041</v>
      </c>
      <c r="D145" s="17" t="s">
        <v>1041</v>
      </c>
      <c r="E145" s="17" t="s">
        <v>1042</v>
      </c>
      <c r="F145" s="17" t="s">
        <v>1043</v>
      </c>
    </row>
    <row r="146" customFormat="false" ht="14.25" hidden="false" customHeight="true" outlineLevel="0" collapsed="false">
      <c r="A146" s="17" t="str">
        <f aca="false">VLOOKUP(B146,Feuil1!A:B,2,FALSE())</f>
        <v>Devenir du patient</v>
      </c>
      <c r="B146" s="17" t="s">
        <v>503</v>
      </c>
      <c r="C146" s="17" t="s">
        <v>171</v>
      </c>
      <c r="D146" s="17" t="s">
        <v>171</v>
      </c>
      <c r="E146" s="17" t="s">
        <v>171</v>
      </c>
      <c r="F146" s="17" t="s">
        <v>170</v>
      </c>
    </row>
    <row r="147" customFormat="false" ht="14.25" hidden="false" customHeight="true" outlineLevel="0" collapsed="false">
      <c r="A147" s="17" t="e">
        <f aca="false">VLOOKUP(B147,Feuil1!A:B,2,FALSE())</f>
        <v>#N/A</v>
      </c>
      <c r="B147" s="17" t="s">
        <v>1044</v>
      </c>
      <c r="C147" s="17" t="s">
        <v>1045</v>
      </c>
      <c r="D147" s="17" t="s">
        <v>1045</v>
      </c>
      <c r="E147" s="17" t="s">
        <v>1045</v>
      </c>
      <c r="F147" s="17" t="s">
        <v>1046</v>
      </c>
    </row>
    <row r="148" customFormat="false" ht="14.25" hidden="false" customHeight="true" outlineLevel="0" collapsed="false">
      <c r="A148" s="17" t="str">
        <f aca="false">VLOOKUP(B148,Feuil1!A:B,2,FALSE())</f>
        <v>District - Aspect de l'échantillon / examen macroscopique (LCR)</v>
      </c>
      <c r="B148" s="17" t="s">
        <v>595</v>
      </c>
      <c r="C148" s="17" t="s">
        <v>461</v>
      </c>
      <c r="D148" s="17" t="s">
        <v>461</v>
      </c>
      <c r="E148" s="17" t="s">
        <v>461</v>
      </c>
      <c r="F148" s="17" t="s">
        <v>460</v>
      </c>
    </row>
    <row r="149" customFormat="false" ht="14.25" hidden="false" customHeight="true" outlineLevel="0" collapsed="false">
      <c r="A149" s="17" t="e">
        <f aca="false">VLOOKUP(B149,Feuil1!A:B,2,FALSE())</f>
        <v>#N/A</v>
      </c>
      <c r="B149" s="17" t="s">
        <v>776</v>
      </c>
      <c r="C149" s="17" t="s">
        <v>219</v>
      </c>
      <c r="D149" s="17" t="s">
        <v>219</v>
      </c>
      <c r="E149" s="17" t="s">
        <v>1047</v>
      </c>
      <c r="F149" s="17" t="s">
        <v>1048</v>
      </c>
    </row>
    <row r="150" customFormat="false" ht="14.25" hidden="false" customHeight="true" outlineLevel="0" collapsed="false">
      <c r="A150" s="17" t="e">
        <f aca="false">VLOOKUP(B150,Feuil1!A:B,2,FALSE())</f>
        <v>#N/A</v>
      </c>
      <c r="B150" s="17" t="s">
        <v>885</v>
      </c>
      <c r="C150" s="17" t="s">
        <v>1049</v>
      </c>
      <c r="D150" s="17" t="s">
        <v>1049</v>
      </c>
      <c r="E150" s="17" t="s">
        <v>1049</v>
      </c>
      <c r="F150" s="17" t="s">
        <v>1050</v>
      </c>
    </row>
    <row r="151" customFormat="false" ht="14.25" hidden="false" customHeight="true" outlineLevel="0" collapsed="false">
      <c r="A151" s="17" t="e">
        <f aca="false">VLOOKUP(B151,Feuil1!A:B,2,FALSE())</f>
        <v>#N/A</v>
      </c>
      <c r="B151" s="17" t="s">
        <v>868</v>
      </c>
      <c r="C151" s="17" t="s">
        <v>1051</v>
      </c>
      <c r="D151" s="17" t="s">
        <v>1051</v>
      </c>
      <c r="E151" s="17" t="s">
        <v>1051</v>
      </c>
      <c r="F151" s="17" t="s">
        <v>1052</v>
      </c>
    </row>
    <row r="152" customFormat="false" ht="14.25" hidden="false" customHeight="true" outlineLevel="0" collapsed="false">
      <c r="A152" s="17" t="e">
        <f aca="false">VLOOKUP(B152,Feuil1!A:B,2,FALSE())</f>
        <v>#N/A</v>
      </c>
      <c r="B152" s="17" t="s">
        <v>844</v>
      </c>
      <c r="C152" s="17" t="s">
        <v>1053</v>
      </c>
      <c r="D152" s="17" t="s">
        <v>1053</v>
      </c>
      <c r="E152" s="17" t="s">
        <v>1053</v>
      </c>
      <c r="F152" s="17" t="s">
        <v>1054</v>
      </c>
    </row>
    <row r="153" customFormat="false" ht="14.25" hidden="false" customHeight="true" outlineLevel="0" collapsed="false">
      <c r="A153" s="17" t="str">
        <f aca="false">VLOOKUP(B153,Feuil1!A:B,2,FALSE())</f>
        <v>District - Résultat du PCR</v>
      </c>
      <c r="B153" s="17" t="s">
        <v>651</v>
      </c>
      <c r="C153" s="17" t="s">
        <v>269</v>
      </c>
      <c r="D153" s="17" t="s">
        <v>269</v>
      </c>
      <c r="E153" s="17" t="s">
        <v>1055</v>
      </c>
      <c r="F153" s="17" t="s">
        <v>268</v>
      </c>
    </row>
    <row r="154" customFormat="false" ht="14.25" hidden="false" customHeight="true" outlineLevel="0" collapsed="false">
      <c r="A154" s="17" t="e">
        <f aca="false">VLOOKUP(B154,Feuil1!A:B,2,FALSE())</f>
        <v>#N/A</v>
      </c>
      <c r="B154" s="17" t="s">
        <v>892</v>
      </c>
      <c r="C154" s="17" t="s">
        <v>307</v>
      </c>
      <c r="D154" s="17" t="s">
        <v>307</v>
      </c>
      <c r="E154" s="17" t="s">
        <v>307</v>
      </c>
      <c r="F154" s="17" t="s">
        <v>1056</v>
      </c>
    </row>
    <row r="155" customFormat="false" ht="14.25" hidden="false" customHeight="true" outlineLevel="0" collapsed="false">
      <c r="A155" s="17" t="e">
        <f aca="false">VLOOKUP(B155,Feuil1!A:B,2,FALSE())</f>
        <v>#N/A</v>
      </c>
      <c r="B155" s="17" t="s">
        <v>924</v>
      </c>
      <c r="C155" s="17" t="s">
        <v>1057</v>
      </c>
      <c r="D155" s="17" t="s">
        <v>1057</v>
      </c>
      <c r="E155" s="17" t="s">
        <v>1057</v>
      </c>
      <c r="F155" s="17" t="s">
        <v>1058</v>
      </c>
    </row>
    <row r="156" customFormat="false" ht="14.25" hidden="false" customHeight="true" outlineLevel="0" collapsed="false">
      <c r="A156" s="17" t="e">
        <f aca="false">VLOOKUP(B156,Feuil1!A:B,2,FALSE())</f>
        <v>#N/A</v>
      </c>
      <c r="B156" s="17" t="s">
        <v>1059</v>
      </c>
      <c r="C156" s="17" t="s">
        <v>1060</v>
      </c>
      <c r="D156" s="17" t="s">
        <v>1060</v>
      </c>
      <c r="E156" s="17" t="s">
        <v>1061</v>
      </c>
      <c r="F156" s="17" t="s">
        <v>1062</v>
      </c>
    </row>
    <row r="157" customFormat="false" ht="14.25" hidden="false" customHeight="true" outlineLevel="0" collapsed="false">
      <c r="A157" s="17" t="str">
        <f aca="false">VLOOKUP(B157,Feuil1!A:B,2,FALSE())</f>
        <v>District - Résultat final du laboratoire</v>
      </c>
      <c r="B157" s="17" t="s">
        <v>505</v>
      </c>
      <c r="C157" s="17" t="s">
        <v>469</v>
      </c>
      <c r="D157" s="17" t="s">
        <v>469</v>
      </c>
      <c r="E157" s="17" t="s">
        <v>1063</v>
      </c>
      <c r="F157" s="17" t="s">
        <v>468</v>
      </c>
    </row>
    <row r="158" customFormat="false" ht="14.25" hidden="false" customHeight="true" outlineLevel="0" collapsed="false">
      <c r="A158" s="17" t="str">
        <f aca="false">VLOOKUP(B158,Feuil1!A:B,2,FALSE())</f>
        <v>District - sérotype S. pneumoniae</v>
      </c>
      <c r="B158" s="17" t="s">
        <v>545</v>
      </c>
      <c r="C158" s="17" t="s">
        <v>352</v>
      </c>
      <c r="D158" s="17" t="s">
        <v>352</v>
      </c>
      <c r="E158" s="17" t="s">
        <v>1064</v>
      </c>
      <c r="F158" s="17" t="s">
        <v>351</v>
      </c>
    </row>
    <row r="159" customFormat="false" ht="14.25" hidden="false" customHeight="true" outlineLevel="0" collapsed="false">
      <c r="A159" s="17" t="e">
        <f aca="false">VLOOKUP(B159,Feuil1!A:B,2,FALSE())</f>
        <v>#N/A</v>
      </c>
      <c r="B159" s="17" t="s">
        <v>944</v>
      </c>
      <c r="C159" s="17" t="s">
        <v>1065</v>
      </c>
      <c r="D159" s="17" t="s">
        <v>1065</v>
      </c>
      <c r="E159" s="17" t="s">
        <v>1065</v>
      </c>
      <c r="F159" s="17" t="s">
        <v>1066</v>
      </c>
    </row>
    <row r="160" customFormat="false" ht="14.25" hidden="false" customHeight="true" outlineLevel="0" collapsed="false">
      <c r="A160" s="17" t="str">
        <f aca="false">VLOOKUP(B160,Feuil1!A:B,2,FALSE())</f>
        <v>District - Nom du laboratoire</v>
      </c>
      <c r="B160" s="17" t="s">
        <v>541</v>
      </c>
      <c r="C160" s="17" t="s">
        <v>418</v>
      </c>
      <c r="D160" s="17" t="s">
        <v>418</v>
      </c>
      <c r="E160" s="17" t="s">
        <v>1067</v>
      </c>
      <c r="F160" s="17" t="s">
        <v>417</v>
      </c>
    </row>
    <row r="161" customFormat="false" ht="14.25" hidden="false" customHeight="true" outlineLevel="0" collapsed="false">
      <c r="A161" s="17" t="e">
        <f aca="false">VLOOKUP(B161,Feuil1!A:B,2,FALSE())</f>
        <v>#N/A</v>
      </c>
      <c r="B161" s="17" t="s">
        <v>1044</v>
      </c>
      <c r="C161" s="17" t="s">
        <v>1068</v>
      </c>
      <c r="D161" s="17" t="s">
        <v>1068</v>
      </c>
      <c r="E161" s="17" t="s">
        <v>1068</v>
      </c>
      <c r="F161" s="17" t="s">
        <v>1069</v>
      </c>
    </row>
    <row r="162" customFormat="false" ht="14.25" hidden="false" customHeight="true" outlineLevel="0" collapsed="false">
      <c r="A162" s="17" t="str">
        <f aca="false">VLOOKUP(B162,Feuil1!A:B,2,FALSE())</f>
        <v>District - Résultat du PCR</v>
      </c>
      <c r="B162" s="17" t="s">
        <v>651</v>
      </c>
      <c r="C162" s="17" t="s">
        <v>307</v>
      </c>
      <c r="D162" s="17" t="s">
        <v>307</v>
      </c>
      <c r="E162" s="17" t="s">
        <v>307</v>
      </c>
      <c r="F162" s="17" t="s">
        <v>306</v>
      </c>
    </row>
    <row r="163" customFormat="false" ht="14.25" hidden="false" customHeight="true" outlineLevel="0" collapsed="false">
      <c r="A163" s="17" t="str">
        <f aca="false">VLOOKUP(B163,Feuil1!A:B,2,FALSE())</f>
        <v>District - sérotype S. pneumoniae</v>
      </c>
      <c r="B163" s="17" t="s">
        <v>545</v>
      </c>
      <c r="C163" s="17" t="s">
        <v>435</v>
      </c>
      <c r="D163" s="17" t="s">
        <v>435</v>
      </c>
      <c r="E163" s="17" t="s">
        <v>1070</v>
      </c>
      <c r="F163" s="17" t="s">
        <v>434</v>
      </c>
    </row>
    <row r="164" customFormat="false" ht="14.25" hidden="false" customHeight="true" outlineLevel="0" collapsed="false">
      <c r="A164" s="17" t="e">
        <f aca="false">VLOOKUP(B164,Feuil1!A:B,2,FALSE())</f>
        <v>#N/A</v>
      </c>
      <c r="B164" s="17" t="s">
        <v>1059</v>
      </c>
      <c r="C164" s="17" t="s">
        <v>1071</v>
      </c>
      <c r="D164" s="17" t="s">
        <v>1071</v>
      </c>
      <c r="E164" s="17" t="s">
        <v>1072</v>
      </c>
      <c r="F164" s="17" t="s">
        <v>1073</v>
      </c>
    </row>
    <row r="165" customFormat="false" ht="14.25" hidden="false" customHeight="true" outlineLevel="0" collapsed="false">
      <c r="A165" s="17" t="e">
        <f aca="false">VLOOKUP(B165,Feuil1!A:B,2,FALSE())</f>
        <v>#N/A</v>
      </c>
      <c r="B165" s="17" t="s">
        <v>873</v>
      </c>
      <c r="C165" s="17" t="s">
        <v>1074</v>
      </c>
      <c r="D165" s="17" t="s">
        <v>1074</v>
      </c>
      <c r="E165" s="17" t="s">
        <v>1075</v>
      </c>
      <c r="F165" s="17" t="s">
        <v>1076</v>
      </c>
    </row>
    <row r="166" customFormat="false" ht="14.25" hidden="false" customHeight="true" outlineLevel="0" collapsed="false">
      <c r="A166" s="17" t="str">
        <f aca="false">VLOOKUP(B166,Feuil1!A:B,2,FALSE())</f>
        <v>District - Résultat du PCR</v>
      </c>
      <c r="B166" s="17" t="s">
        <v>651</v>
      </c>
      <c r="C166" s="17" t="s">
        <v>322</v>
      </c>
      <c r="D166" s="17" t="s">
        <v>322</v>
      </c>
      <c r="E166" s="17" t="s">
        <v>322</v>
      </c>
      <c r="F166" s="17" t="s">
        <v>323</v>
      </c>
    </row>
    <row r="167" customFormat="false" ht="14.25" hidden="false" customHeight="true" outlineLevel="0" collapsed="false">
      <c r="A167" s="17" t="str">
        <f aca="false">VLOOKUP(B167,Feuil1!A:B,2,FALSE())</f>
        <v>District - Résultat final du laboratoire</v>
      </c>
      <c r="B167" s="17" t="s">
        <v>505</v>
      </c>
      <c r="C167" s="17" t="s">
        <v>476</v>
      </c>
      <c r="D167" s="17" t="s">
        <v>476</v>
      </c>
      <c r="E167" s="17" t="s">
        <v>1077</v>
      </c>
      <c r="F167" s="17" t="s">
        <v>475</v>
      </c>
    </row>
    <row r="168" customFormat="false" ht="14.25" hidden="false" customHeight="true" outlineLevel="0" collapsed="false">
      <c r="A168" s="17" t="e">
        <f aca="false">VLOOKUP(B168,Feuil1!A:B,2,FALSE())</f>
        <v>#N/A</v>
      </c>
      <c r="B168" s="17" t="s">
        <v>892</v>
      </c>
      <c r="C168" s="17" t="s">
        <v>1078</v>
      </c>
      <c r="D168" s="17" t="s">
        <v>1078</v>
      </c>
      <c r="E168" s="17" t="s">
        <v>1078</v>
      </c>
      <c r="F168" s="17" t="s">
        <v>1079</v>
      </c>
    </row>
    <row r="169" customFormat="false" ht="14.25" hidden="false" customHeight="true" outlineLevel="0" collapsed="false">
      <c r="A169" s="17" t="e">
        <f aca="false">VLOOKUP(B169,Feuil1!A:B,2,FALSE())</f>
        <v>#N/A</v>
      </c>
      <c r="B169" s="17" t="s">
        <v>865</v>
      </c>
      <c r="C169" s="17" t="s">
        <v>1080</v>
      </c>
      <c r="D169" s="17" t="s">
        <v>1080</v>
      </c>
      <c r="E169" s="17" t="s">
        <v>1080</v>
      </c>
      <c r="F169" s="17" t="s">
        <v>1081</v>
      </c>
    </row>
    <row r="170" customFormat="false" ht="14.25" hidden="false" customHeight="true" outlineLevel="0" collapsed="false">
      <c r="A170" s="17" t="e">
        <f aca="false">VLOOKUP(B170,Feuil1!A:B,2,FALSE())</f>
        <v>#N/A</v>
      </c>
      <c r="B170" s="17" t="s">
        <v>1027</v>
      </c>
      <c r="C170" s="17" t="s">
        <v>375</v>
      </c>
      <c r="D170" s="17" t="s">
        <v>375</v>
      </c>
      <c r="E170" s="17" t="s">
        <v>1014</v>
      </c>
      <c r="F170" s="17" t="s">
        <v>1082</v>
      </c>
    </row>
    <row r="171" customFormat="false" ht="14.25" hidden="false" customHeight="true" outlineLevel="0" collapsed="false">
      <c r="A171" s="17" t="str">
        <f aca="false">VLOOKUP(B171,Feuil1!A:B,2,FALSE())</f>
        <v>District - Aspect de l'échantillon / examen macroscopique (LCR)</v>
      </c>
      <c r="B171" s="17" t="s">
        <v>595</v>
      </c>
      <c r="C171" s="17" t="s">
        <v>412</v>
      </c>
      <c r="D171" s="17" t="s">
        <v>412</v>
      </c>
      <c r="E171" s="17" t="s">
        <v>412</v>
      </c>
      <c r="F171" s="17" t="s">
        <v>411</v>
      </c>
    </row>
    <row r="172" customFormat="false" ht="14.25" hidden="false" customHeight="true" outlineLevel="0" collapsed="false">
      <c r="A172" s="17" t="str">
        <f aca="false">VLOOKUP(B172,Feuil1!A:B,2,FALSE())</f>
        <v>District - sérotype S. pneumoniae</v>
      </c>
      <c r="B172" s="17" t="s">
        <v>545</v>
      </c>
      <c r="C172" s="17" t="s">
        <v>117</v>
      </c>
      <c r="D172" s="17" t="s">
        <v>117</v>
      </c>
      <c r="E172" s="17" t="s">
        <v>1083</v>
      </c>
      <c r="F172" s="17" t="s">
        <v>116</v>
      </c>
    </row>
    <row r="173" customFormat="false" ht="14.25" hidden="false" customHeight="true" outlineLevel="0" collapsed="false">
      <c r="A173" s="17" t="e">
        <f aca="false">VLOOKUP(B173,Feuil1!A:B,2,FALSE())</f>
        <v>#N/A</v>
      </c>
      <c r="B173" s="17" t="s">
        <v>862</v>
      </c>
      <c r="C173" s="17" t="s">
        <v>1084</v>
      </c>
      <c r="D173" s="17" t="s">
        <v>1084</v>
      </c>
      <c r="E173" s="17" t="s">
        <v>1084</v>
      </c>
      <c r="F173" s="17" t="s">
        <v>1085</v>
      </c>
    </row>
    <row r="174" customFormat="false" ht="14.25" hidden="false" customHeight="true" outlineLevel="0" collapsed="false">
      <c r="A174" s="17" t="str">
        <f aca="false">VLOOKUP(B174,Feuil1!A:B,2,FALSE())</f>
        <v>District - sérotype S. pneumoniae</v>
      </c>
      <c r="B174" s="17" t="s">
        <v>545</v>
      </c>
      <c r="C174" s="17" t="s">
        <v>126</v>
      </c>
      <c r="D174" s="17" t="s">
        <v>126</v>
      </c>
      <c r="E174" s="17" t="s">
        <v>1086</v>
      </c>
      <c r="F174" s="17" t="s">
        <v>125</v>
      </c>
    </row>
    <row r="175" customFormat="false" ht="14.25" hidden="false" customHeight="true" outlineLevel="0" collapsed="false">
      <c r="A175" s="17" t="str">
        <f aca="false">VLOOKUP(B175,Feuil1!A:B,2,FALSE())</f>
        <v>District - Résultat final du laboratoire</v>
      </c>
      <c r="B175" s="17" t="s">
        <v>505</v>
      </c>
      <c r="C175" s="17" t="s">
        <v>221</v>
      </c>
      <c r="D175" s="17" t="s">
        <v>221</v>
      </c>
      <c r="E175" s="17" t="s">
        <v>221</v>
      </c>
      <c r="F175" s="17" t="s">
        <v>220</v>
      </c>
    </row>
    <row r="176" customFormat="false" ht="14.25" hidden="false" customHeight="true" outlineLevel="0" collapsed="false">
      <c r="A176" s="17" t="e">
        <f aca="false">VLOOKUP(B176,Feuil1!A:B,2,FALSE())</f>
        <v>#N/A</v>
      </c>
      <c r="B176" s="17" t="s">
        <v>892</v>
      </c>
      <c r="C176" s="17" t="s">
        <v>1087</v>
      </c>
      <c r="D176" s="17" t="s">
        <v>1087</v>
      </c>
      <c r="E176" s="17" t="s">
        <v>1087</v>
      </c>
      <c r="F176" s="17" t="s">
        <v>1088</v>
      </c>
    </row>
    <row r="177" customFormat="false" ht="14.25" hidden="false" customHeight="true" outlineLevel="0" collapsed="false">
      <c r="A177" s="17" t="e">
        <f aca="false">VLOOKUP(B177,Feuil1!A:B,2,FALSE())</f>
        <v>#N/A</v>
      </c>
      <c r="B177" s="17" t="s">
        <v>862</v>
      </c>
      <c r="C177" s="17" t="s">
        <v>1089</v>
      </c>
      <c r="D177" s="17" t="s">
        <v>1089</v>
      </c>
      <c r="E177" s="17" t="s">
        <v>1089</v>
      </c>
      <c r="F177" s="17" t="s">
        <v>1090</v>
      </c>
    </row>
    <row r="178" customFormat="false" ht="14.25" hidden="false" customHeight="true" outlineLevel="0" collapsed="false">
      <c r="A178" s="17" t="str">
        <f aca="false">VLOOKUP(B178,Feuil1!A:B,2,FALSE())</f>
        <v>District - Résultat de la coloration de Gram</v>
      </c>
      <c r="B178" s="17" t="s">
        <v>571</v>
      </c>
      <c r="C178" s="17" t="s">
        <v>257</v>
      </c>
      <c r="D178" s="17" t="s">
        <v>257</v>
      </c>
      <c r="E178" s="17" t="s">
        <v>257</v>
      </c>
      <c r="F178" s="17" t="s">
        <v>256</v>
      </c>
    </row>
    <row r="179" customFormat="false" ht="14.25" hidden="false" customHeight="true" outlineLevel="0" collapsed="false">
      <c r="A179" s="17" t="e">
        <f aca="false">VLOOKUP(B179,Feuil1!A:B,2,FALSE())</f>
        <v>#N/A</v>
      </c>
      <c r="B179" s="17" t="s">
        <v>868</v>
      </c>
      <c r="C179" s="17" t="s">
        <v>1091</v>
      </c>
      <c r="D179" s="17" t="s">
        <v>1091</v>
      </c>
      <c r="E179" s="17" t="s">
        <v>1091</v>
      </c>
      <c r="F179" s="17" t="s">
        <v>1092</v>
      </c>
    </row>
    <row r="180" customFormat="false" ht="14.25" hidden="false" customHeight="true" outlineLevel="0" collapsed="false">
      <c r="A180" s="17" t="e">
        <f aca="false">VLOOKUP(B180,Feuil1!A:B,2,FALSE())</f>
        <v>#N/A</v>
      </c>
      <c r="B180" s="17" t="s">
        <v>955</v>
      </c>
      <c r="C180" s="17" t="s">
        <v>1093</v>
      </c>
      <c r="D180" s="17" t="s">
        <v>1093</v>
      </c>
      <c r="E180" s="17" t="s">
        <v>1093</v>
      </c>
      <c r="F180" s="17" t="s">
        <v>1094</v>
      </c>
    </row>
    <row r="181" customFormat="false" ht="14.25" hidden="false" customHeight="true" outlineLevel="0" collapsed="false">
      <c r="A181" s="17" t="str">
        <f aca="false">VLOOKUP(B181,Feuil1!A:B,2,FALSE())</f>
        <v>District - sérotype S. pneumoniae</v>
      </c>
      <c r="B181" s="17" t="s">
        <v>545</v>
      </c>
      <c r="C181" s="17" t="s">
        <v>113</v>
      </c>
      <c r="D181" s="17" t="s">
        <v>113</v>
      </c>
      <c r="E181" s="17" t="s">
        <v>113</v>
      </c>
      <c r="F181" s="17" t="s">
        <v>112</v>
      </c>
    </row>
    <row r="182" customFormat="false" ht="14.25" hidden="false" customHeight="true" outlineLevel="0" collapsed="false">
      <c r="A182" s="17" t="e">
        <f aca="false">VLOOKUP(B182,Feuil1!A:B,2,FALSE())</f>
        <v>#N/A</v>
      </c>
      <c r="B182" s="17" t="s">
        <v>969</v>
      </c>
      <c r="C182" s="17" t="s">
        <v>345</v>
      </c>
      <c r="D182" s="17" t="s">
        <v>345</v>
      </c>
      <c r="E182" s="17" t="s">
        <v>345</v>
      </c>
      <c r="F182" s="17" t="s">
        <v>1095</v>
      </c>
    </row>
    <row r="183" customFormat="false" ht="14.25" hidden="false" customHeight="true" outlineLevel="0" collapsed="false">
      <c r="A183" s="17" t="e">
        <f aca="false">VLOOKUP(B183,Feuil1!A:B,2,FALSE())</f>
        <v>#N/A</v>
      </c>
      <c r="B183" s="17" t="s">
        <v>776</v>
      </c>
      <c r="C183" s="17" t="s">
        <v>1096</v>
      </c>
      <c r="D183" s="17" t="s">
        <v>1096</v>
      </c>
      <c r="E183" s="17" t="s">
        <v>1097</v>
      </c>
      <c r="F183" s="17" t="s">
        <v>1098</v>
      </c>
    </row>
    <row r="184" customFormat="false" ht="14.25" hidden="false" customHeight="true" outlineLevel="0" collapsed="false">
      <c r="A184" s="17" t="str">
        <f aca="false">VLOOKUP(B184,Feuil1!A:B,2,FALSE())</f>
        <v>District - Résultat final du laboratoire</v>
      </c>
      <c r="B184" s="17" t="s">
        <v>505</v>
      </c>
      <c r="C184" s="17" t="s">
        <v>307</v>
      </c>
      <c r="D184" s="17" t="s">
        <v>307</v>
      </c>
      <c r="E184" s="17" t="s">
        <v>307</v>
      </c>
      <c r="F184" s="17" t="s">
        <v>309</v>
      </c>
    </row>
    <row r="185" customFormat="false" ht="14.25" hidden="false" customHeight="true" outlineLevel="0" collapsed="false">
      <c r="A185" s="17" t="e">
        <f aca="false">VLOOKUP(B185,Feuil1!A:B,2,FALSE())</f>
        <v>#N/A</v>
      </c>
      <c r="B185" s="17" t="s">
        <v>1099</v>
      </c>
      <c r="C185" s="17" t="s">
        <v>375</v>
      </c>
      <c r="D185" s="17" t="s">
        <v>375</v>
      </c>
      <c r="E185" s="17" t="s">
        <v>375</v>
      </c>
      <c r="F185" s="17" t="s">
        <v>1100</v>
      </c>
    </row>
    <row r="186" customFormat="false" ht="14.25" hidden="false" customHeight="true" outlineLevel="0" collapsed="false">
      <c r="A186" s="17" t="e">
        <f aca="false">VLOOKUP(B186,Feuil1!A:B,2,FALSE())</f>
        <v>#N/A</v>
      </c>
      <c r="B186" s="17" t="s">
        <v>1101</v>
      </c>
      <c r="C186" s="17" t="s">
        <v>1102</v>
      </c>
      <c r="D186" s="17" t="s">
        <v>1102</v>
      </c>
      <c r="E186" s="17" t="s">
        <v>1102</v>
      </c>
      <c r="F186" s="17" t="s">
        <v>1103</v>
      </c>
    </row>
    <row r="187" customFormat="false" ht="14.25" hidden="false" customHeight="true" outlineLevel="0" collapsed="false">
      <c r="A187" s="17" t="e">
        <f aca="false">VLOOKUP(B187,Feuil1!A:B,2,FALSE())</f>
        <v>#N/A</v>
      </c>
      <c r="B187" s="17" t="s">
        <v>1023</v>
      </c>
      <c r="C187" s="17" t="s">
        <v>987</v>
      </c>
      <c r="D187" s="17" t="s">
        <v>987</v>
      </c>
      <c r="E187" s="17" t="s">
        <v>987</v>
      </c>
      <c r="F187" s="17" t="s">
        <v>1104</v>
      </c>
    </row>
    <row r="188" customFormat="false" ht="14.25" hidden="false" customHeight="true" outlineLevel="0" collapsed="false">
      <c r="A188" s="17" t="e">
        <f aca="false">VLOOKUP(B188,Feuil1!A:B,2,FALSE())</f>
        <v>#N/A</v>
      </c>
      <c r="B188" s="17" t="s">
        <v>1105</v>
      </c>
      <c r="C188" s="17" t="s">
        <v>375</v>
      </c>
      <c r="D188" s="17" t="s">
        <v>375</v>
      </c>
      <c r="E188" s="17" t="s">
        <v>375</v>
      </c>
      <c r="F188" s="17" t="s">
        <v>1106</v>
      </c>
    </row>
    <row r="189" customFormat="false" ht="14.25" hidden="false" customHeight="true" outlineLevel="0" collapsed="false">
      <c r="A189" s="17" t="e">
        <f aca="false">VLOOKUP(B189,Feuil1!A:B,2,FALSE())</f>
        <v>#N/A</v>
      </c>
      <c r="B189" s="17" t="s">
        <v>1027</v>
      </c>
      <c r="C189" s="17" t="s">
        <v>214</v>
      </c>
      <c r="D189" s="17" t="s">
        <v>214</v>
      </c>
      <c r="E189" s="17" t="s">
        <v>910</v>
      </c>
      <c r="F189" s="17" t="s">
        <v>1107</v>
      </c>
    </row>
    <row r="190" customFormat="false" ht="14.25" hidden="false" customHeight="true" outlineLevel="0" collapsed="false">
      <c r="A190" s="17" t="e">
        <f aca="false">VLOOKUP(B190,Feuil1!A:B,2,FALSE())</f>
        <v>#N/A</v>
      </c>
      <c r="B190" s="17" t="s">
        <v>1016</v>
      </c>
      <c r="C190" s="17" t="s">
        <v>828</v>
      </c>
      <c r="D190" s="17" t="s">
        <v>828</v>
      </c>
      <c r="E190" s="17" t="s">
        <v>828</v>
      </c>
      <c r="F190" s="17" t="s">
        <v>1108</v>
      </c>
    </row>
    <row r="191" customFormat="false" ht="14.25" hidden="false" customHeight="true" outlineLevel="0" collapsed="false">
      <c r="A191" s="17" t="e">
        <f aca="false">VLOOKUP(B191,Feuil1!A:B,2,FALSE())</f>
        <v>#N/A</v>
      </c>
      <c r="B191" s="17" t="s">
        <v>888</v>
      </c>
      <c r="C191" s="17" t="s">
        <v>1109</v>
      </c>
      <c r="D191" s="17" t="s">
        <v>1109</v>
      </c>
      <c r="E191" s="17" t="s">
        <v>1110</v>
      </c>
      <c r="F191" s="17" t="s">
        <v>1111</v>
      </c>
    </row>
    <row r="192" customFormat="false" ht="14.25" hidden="false" customHeight="true" outlineLevel="0" collapsed="false">
      <c r="A192" s="17" t="e">
        <f aca="false">VLOOKUP(B192,Feuil1!A:B,2,FALSE())</f>
        <v>#N/A</v>
      </c>
      <c r="B192" s="17" t="s">
        <v>952</v>
      </c>
      <c r="C192" s="17" t="s">
        <v>1112</v>
      </c>
      <c r="D192" s="17" t="s">
        <v>1112</v>
      </c>
      <c r="E192" s="17" t="s">
        <v>1112</v>
      </c>
      <c r="F192" s="17" t="s">
        <v>1113</v>
      </c>
    </row>
    <row r="193" customFormat="false" ht="14.25" hidden="false" customHeight="true" outlineLevel="0" collapsed="false">
      <c r="A193" s="17" t="e">
        <f aca="false">VLOOKUP(B193,Feuil1!A:B,2,FALSE())</f>
        <v>#N/A</v>
      </c>
      <c r="B193" s="17" t="s">
        <v>776</v>
      </c>
      <c r="C193" s="17" t="s">
        <v>463</v>
      </c>
      <c r="D193" s="17" t="s">
        <v>463</v>
      </c>
      <c r="E193" s="17" t="s">
        <v>1114</v>
      </c>
      <c r="F193" s="17" t="s">
        <v>1115</v>
      </c>
    </row>
    <row r="194" customFormat="false" ht="14.25" hidden="false" customHeight="true" outlineLevel="0" collapsed="false">
      <c r="A194" s="17" t="str">
        <f aca="false">VLOOKUP(B194,Feuil1!A:B,2,FALSE())</f>
        <v>District - sérotype S. pneumoniae</v>
      </c>
      <c r="B194" s="17" t="s">
        <v>545</v>
      </c>
      <c r="C194" s="17" t="s">
        <v>96</v>
      </c>
      <c r="D194" s="17" t="s">
        <v>96</v>
      </c>
      <c r="E194" s="17" t="s">
        <v>96</v>
      </c>
      <c r="F194" s="17" t="s">
        <v>95</v>
      </c>
    </row>
    <row r="195" customFormat="false" ht="14.25" hidden="false" customHeight="true" outlineLevel="0" collapsed="false">
      <c r="A195" s="17" t="str">
        <f aca="false">VLOOKUP(B195,Feuil1!A:B,2,FALSE())</f>
        <v>District - sérotype S. pneumoniae</v>
      </c>
      <c r="B195" s="17" t="s">
        <v>545</v>
      </c>
      <c r="C195" s="17" t="s">
        <v>143</v>
      </c>
      <c r="D195" s="17" t="s">
        <v>143</v>
      </c>
      <c r="E195" s="17" t="s">
        <v>143</v>
      </c>
      <c r="F195" s="17" t="s">
        <v>141</v>
      </c>
    </row>
    <row r="196" customFormat="false" ht="14.25" hidden="false" customHeight="true" outlineLevel="0" collapsed="false">
      <c r="A196" s="17" t="e">
        <f aca="false">VLOOKUP(B196,Feuil1!A:B,2,FALSE())</f>
        <v>#N/A</v>
      </c>
      <c r="B196" s="17" t="s">
        <v>973</v>
      </c>
      <c r="C196" s="17" t="s">
        <v>1116</v>
      </c>
      <c r="D196" s="17" t="s">
        <v>1116</v>
      </c>
      <c r="E196" s="17" t="s">
        <v>1117</v>
      </c>
      <c r="F196" s="17" t="s">
        <v>1118</v>
      </c>
    </row>
    <row r="197" customFormat="false" ht="14.25" hidden="false" customHeight="true" outlineLevel="0" collapsed="false">
      <c r="A197" s="17" t="e">
        <f aca="false">VLOOKUP(B197,Feuil1!A:B,2,FALSE())</f>
        <v>#N/A</v>
      </c>
      <c r="B197" s="17" t="s">
        <v>944</v>
      </c>
      <c r="C197" s="17" t="s">
        <v>1119</v>
      </c>
      <c r="D197" s="17" t="s">
        <v>1119</v>
      </c>
      <c r="E197" s="17" t="s">
        <v>1119</v>
      </c>
      <c r="F197" s="17" t="s">
        <v>1120</v>
      </c>
    </row>
    <row r="198" customFormat="false" ht="14.25" hidden="false" customHeight="true" outlineLevel="0" collapsed="false">
      <c r="A198" s="17" t="e">
        <f aca="false">VLOOKUP(B198,Feuil1!A:B,2,FALSE())</f>
        <v>#N/A</v>
      </c>
      <c r="B198" s="17" t="s">
        <v>1121</v>
      </c>
      <c r="C198" s="17" t="s">
        <v>1122</v>
      </c>
      <c r="D198" s="17" t="s">
        <v>1122</v>
      </c>
      <c r="E198" s="17" t="s">
        <v>1123</v>
      </c>
      <c r="F198" s="17" t="s">
        <v>1124</v>
      </c>
    </row>
    <row r="199" customFormat="false" ht="14.25" hidden="false" customHeight="true" outlineLevel="0" collapsed="false">
      <c r="A199" s="17" t="e">
        <f aca="false">VLOOKUP(B199,Feuil1!A:B,2,FALSE())</f>
        <v>#N/A</v>
      </c>
      <c r="B199" s="17" t="s">
        <v>830</v>
      </c>
      <c r="C199" s="17" t="s">
        <v>1125</v>
      </c>
      <c r="D199" s="17" t="s">
        <v>1125</v>
      </c>
      <c r="E199" s="17" t="s">
        <v>1125</v>
      </c>
      <c r="F199" s="17" t="s">
        <v>1126</v>
      </c>
    </row>
    <row r="200" customFormat="false" ht="14.25" hidden="false" customHeight="true" outlineLevel="0" collapsed="false">
      <c r="A200" s="17" t="str">
        <f aca="false">VLOOKUP(B200,Feuil1!A:B,2,FALSE())</f>
        <v>District - sérotype S. pneumoniae</v>
      </c>
      <c r="B200" s="17" t="s">
        <v>545</v>
      </c>
      <c r="C200" s="17" t="n">
        <v>20</v>
      </c>
      <c r="D200" s="17" t="n">
        <v>20</v>
      </c>
      <c r="E200" s="17" t="n">
        <v>20</v>
      </c>
      <c r="F200" s="17" t="s">
        <v>102</v>
      </c>
    </row>
    <row r="201" customFormat="false" ht="14.25" hidden="false" customHeight="true" outlineLevel="0" collapsed="false">
      <c r="A201" s="17" t="str">
        <f aca="false">VLOOKUP(B201,Feuil1!A:B,2,FALSE())</f>
        <v>District - Résultat final du laboratoire</v>
      </c>
      <c r="B201" s="17" t="s">
        <v>505</v>
      </c>
      <c r="C201" s="17" t="s">
        <v>190</v>
      </c>
      <c r="D201" s="17" t="s">
        <v>190</v>
      </c>
      <c r="E201" s="17" t="s">
        <v>190</v>
      </c>
      <c r="F201" s="17" t="s">
        <v>189</v>
      </c>
    </row>
    <row r="202" customFormat="false" ht="14.25" hidden="false" customHeight="true" outlineLevel="0" collapsed="false">
      <c r="A202" s="17" t="str">
        <f aca="false">VLOOKUP(B202,Feuil1!A:B,2,FALSE())</f>
        <v>District - sérotype S. pneumoniae</v>
      </c>
      <c r="B202" s="17" t="s">
        <v>545</v>
      </c>
      <c r="C202" s="17" t="s">
        <v>66</v>
      </c>
      <c r="D202" s="17" t="s">
        <v>66</v>
      </c>
      <c r="E202" s="17" t="s">
        <v>66</v>
      </c>
      <c r="F202" s="17" t="s">
        <v>65</v>
      </c>
    </row>
    <row r="203" customFormat="false" ht="14.25" hidden="false" customHeight="true" outlineLevel="0" collapsed="false">
      <c r="A203" s="17" t="str">
        <f aca="false">VLOOKUP(B203,Feuil1!A:B,2,FALSE())</f>
        <v>District - Résultat final du laboratoire</v>
      </c>
      <c r="B203" s="17" t="s">
        <v>505</v>
      </c>
      <c r="C203" s="17" t="s">
        <v>433</v>
      </c>
      <c r="D203" s="17" t="s">
        <v>433</v>
      </c>
      <c r="E203" s="17" t="s">
        <v>433</v>
      </c>
      <c r="F203" s="17" t="s">
        <v>432</v>
      </c>
    </row>
    <row r="204" customFormat="false" ht="14.25" hidden="false" customHeight="true" outlineLevel="0" collapsed="false">
      <c r="A204" s="17" t="e">
        <f aca="false">VLOOKUP(B204,Feuil1!A:B,2,FALSE())</f>
        <v>#N/A</v>
      </c>
      <c r="B204" s="17" t="s">
        <v>924</v>
      </c>
      <c r="C204" s="17" t="s">
        <v>860</v>
      </c>
      <c r="D204" s="17" t="s">
        <v>860</v>
      </c>
      <c r="E204" s="17" t="s">
        <v>860</v>
      </c>
      <c r="F204" s="17" t="s">
        <v>1127</v>
      </c>
    </row>
    <row r="205" customFormat="false" ht="14.25" hidden="false" customHeight="true" outlineLevel="0" collapsed="false">
      <c r="A205" s="17" t="e">
        <f aca="false">VLOOKUP(B205,Feuil1!A:B,2,FALSE())</f>
        <v>#N/A</v>
      </c>
      <c r="B205" s="17" t="s">
        <v>1030</v>
      </c>
      <c r="C205" s="17" t="s">
        <v>1128</v>
      </c>
      <c r="D205" s="17" t="s">
        <v>1128</v>
      </c>
      <c r="E205" s="17" t="s">
        <v>1128</v>
      </c>
      <c r="F205" s="17" t="s">
        <v>1129</v>
      </c>
    </row>
    <row r="206" customFormat="false" ht="14.25" hidden="false" customHeight="true" outlineLevel="0" collapsed="false">
      <c r="A206" s="17" t="e">
        <f aca="false">VLOOKUP(B206,Feuil1!A:B,2,FALSE())</f>
        <v>#N/A</v>
      </c>
      <c r="B206" s="17" t="s">
        <v>854</v>
      </c>
      <c r="C206" s="17" t="s">
        <v>1130</v>
      </c>
      <c r="D206" s="17" t="s">
        <v>1130</v>
      </c>
      <c r="E206" s="17" t="s">
        <v>1130</v>
      </c>
      <c r="F206" s="17" t="s">
        <v>1131</v>
      </c>
    </row>
    <row r="207" customFormat="false" ht="14.25" hidden="false" customHeight="true" outlineLevel="0" collapsed="false">
      <c r="A207" s="17" t="e">
        <f aca="false">VLOOKUP(B207,Feuil1!A:B,2,FALSE())</f>
        <v>#N/A</v>
      </c>
      <c r="B207" s="17" t="s">
        <v>1030</v>
      </c>
      <c r="C207" s="17" t="s">
        <v>1132</v>
      </c>
      <c r="D207" s="17" t="s">
        <v>1132</v>
      </c>
      <c r="E207" s="17" t="s">
        <v>1133</v>
      </c>
      <c r="F207" s="17" t="s">
        <v>1134</v>
      </c>
    </row>
    <row r="208" customFormat="false" ht="14.25" hidden="false" customHeight="true" outlineLevel="0" collapsed="false">
      <c r="A208" s="17" t="str">
        <f aca="false">VLOOKUP(B208,Feuil1!A:B,2,FALSE())</f>
        <v>District - Résultat de l'agglutination du latex</v>
      </c>
      <c r="B208" s="17" t="s">
        <v>551</v>
      </c>
      <c r="C208" s="17" t="s">
        <v>338</v>
      </c>
      <c r="D208" s="17" t="s">
        <v>338</v>
      </c>
      <c r="E208" s="17" t="s">
        <v>338</v>
      </c>
      <c r="F208" s="17" t="s">
        <v>339</v>
      </c>
    </row>
    <row r="209" customFormat="false" ht="14.25" hidden="false" customHeight="true" outlineLevel="0" collapsed="false">
      <c r="A209" s="17" t="str">
        <f aca="false">VLOOKUP(B209,Feuil1!A:B,2,FALSE())</f>
        <v>District - Nom du laboratoire</v>
      </c>
      <c r="B209" s="17" t="s">
        <v>541</v>
      </c>
      <c r="C209" s="17" t="s">
        <v>166</v>
      </c>
      <c r="D209" s="17" t="s">
        <v>166</v>
      </c>
      <c r="E209" s="17" t="s">
        <v>166</v>
      </c>
      <c r="F209" s="17" t="s">
        <v>165</v>
      </c>
    </row>
    <row r="210" customFormat="false" ht="14.25" hidden="false" customHeight="true" outlineLevel="0" collapsed="false">
      <c r="A210" s="17" t="str">
        <f aca="false">VLOOKUP(B210,Feuil1!A:B,2,FALSE())</f>
        <v>District - Résultat final du laboratoire</v>
      </c>
      <c r="B210" s="17" t="s">
        <v>505</v>
      </c>
      <c r="C210" s="17" t="s">
        <v>224</v>
      </c>
      <c r="D210" s="17" t="s">
        <v>224</v>
      </c>
      <c r="E210" s="17" t="s">
        <v>1135</v>
      </c>
      <c r="F210" s="17" t="s">
        <v>223</v>
      </c>
    </row>
    <row r="211" customFormat="false" ht="14.25" hidden="false" customHeight="true" outlineLevel="0" collapsed="false">
      <c r="A211" s="17" t="e">
        <f aca="false">VLOOKUP(B211,Feuil1!A:B,2,FALSE())</f>
        <v>#N/A</v>
      </c>
      <c r="B211" s="17" t="s">
        <v>868</v>
      </c>
      <c r="C211" s="17" t="s">
        <v>1136</v>
      </c>
      <c r="D211" s="17" t="s">
        <v>1136</v>
      </c>
      <c r="E211" s="17" t="s">
        <v>1136</v>
      </c>
      <c r="F211" s="17" t="s">
        <v>1137</v>
      </c>
    </row>
    <row r="212" customFormat="false" ht="14.25" hidden="false" customHeight="true" outlineLevel="0" collapsed="false">
      <c r="A212" s="17" t="e">
        <f aca="false">VLOOKUP(B212,Feuil1!A:B,2,FALSE())</f>
        <v>#N/A</v>
      </c>
      <c r="B212" s="17" t="s">
        <v>1101</v>
      </c>
      <c r="C212" s="17" t="s">
        <v>1138</v>
      </c>
      <c r="D212" s="17" t="s">
        <v>1138</v>
      </c>
      <c r="E212" s="17" t="s">
        <v>1138</v>
      </c>
      <c r="F212" s="17" t="s">
        <v>1139</v>
      </c>
    </row>
    <row r="213" customFormat="false" ht="14.25" hidden="false" customHeight="true" outlineLevel="0" collapsed="false">
      <c r="A213" s="17" t="e">
        <f aca="false">VLOOKUP(B213,Feuil1!A:B,2,FALSE())</f>
        <v>#N/A</v>
      </c>
      <c r="B213" s="17" t="s">
        <v>952</v>
      </c>
      <c r="C213" s="17" t="s">
        <v>1140</v>
      </c>
      <c r="D213" s="17" t="s">
        <v>1140</v>
      </c>
      <c r="E213" s="17" t="s">
        <v>1140</v>
      </c>
      <c r="F213" s="17" t="s">
        <v>1141</v>
      </c>
    </row>
    <row r="214" customFormat="false" ht="14.25" hidden="false" customHeight="true" outlineLevel="0" collapsed="false">
      <c r="A214" s="17" t="str">
        <f aca="false">VLOOKUP(B214,Feuil1!A:B,2,FALSE())</f>
        <v>Type d'échantillon</v>
      </c>
      <c r="B214" s="17" t="s">
        <v>529</v>
      </c>
      <c r="C214" s="17" t="s">
        <v>372</v>
      </c>
      <c r="D214" s="17" t="s">
        <v>372</v>
      </c>
      <c r="E214" s="17" t="s">
        <v>1142</v>
      </c>
      <c r="F214" s="17" t="s">
        <v>371</v>
      </c>
    </row>
    <row r="215" customFormat="false" ht="14.25" hidden="false" customHeight="true" outlineLevel="0" collapsed="false">
      <c r="A215" s="17" t="str">
        <f aca="false">VLOOKUP(B215,Feuil1!A:B,2,FALSE())</f>
        <v>District - Résultat du PCR</v>
      </c>
      <c r="B215" s="17" t="s">
        <v>651</v>
      </c>
      <c r="C215" s="17" t="s">
        <v>314</v>
      </c>
      <c r="D215" s="17" t="s">
        <v>314</v>
      </c>
      <c r="E215" s="17" t="s">
        <v>312</v>
      </c>
      <c r="F215" s="17" t="s">
        <v>313</v>
      </c>
    </row>
    <row r="216" customFormat="false" ht="14.25" hidden="false" customHeight="true" outlineLevel="0" collapsed="false">
      <c r="A216" s="17" t="e">
        <f aca="false">VLOOKUP(B216,Feuil1!A:B,2,FALSE())</f>
        <v>#N/A</v>
      </c>
      <c r="B216" s="17" t="s">
        <v>873</v>
      </c>
      <c r="C216" s="17" t="s">
        <v>1143</v>
      </c>
      <c r="D216" s="17" t="s">
        <v>1143</v>
      </c>
      <c r="E216" s="17" t="s">
        <v>1144</v>
      </c>
      <c r="F216" s="17" t="s">
        <v>1145</v>
      </c>
    </row>
    <row r="217" customFormat="false" ht="14.25" hidden="false" customHeight="true" outlineLevel="0" collapsed="false">
      <c r="A217" s="17" t="e">
        <f aca="false">VLOOKUP(B217,Feuil1!A:B,2,FALSE())</f>
        <v>#N/A</v>
      </c>
      <c r="B217" s="17" t="s">
        <v>776</v>
      </c>
      <c r="C217" s="17" t="s">
        <v>1146</v>
      </c>
      <c r="D217" s="17" t="s">
        <v>1146</v>
      </c>
      <c r="E217" s="17" t="s">
        <v>1147</v>
      </c>
      <c r="F217" s="17" t="s">
        <v>1148</v>
      </c>
    </row>
    <row r="218" customFormat="false" ht="14.25" hidden="false" customHeight="true" outlineLevel="0" collapsed="false">
      <c r="A218" s="17" t="str">
        <f aca="false">VLOOKUP(B218,Feuil1!A:B,2,FALSE())</f>
        <v>District - Résultat final du laboratoire</v>
      </c>
      <c r="B218" s="17" t="s">
        <v>505</v>
      </c>
      <c r="C218" s="17" t="s">
        <v>287</v>
      </c>
      <c r="D218" s="17" t="s">
        <v>287</v>
      </c>
      <c r="E218" s="17" t="s">
        <v>287</v>
      </c>
      <c r="F218" s="17" t="s">
        <v>286</v>
      </c>
    </row>
    <row r="219" customFormat="false" ht="14.25" hidden="false" customHeight="true" outlineLevel="0" collapsed="false">
      <c r="A219" s="17" t="str">
        <f aca="false">VLOOKUP(B219,Feuil1!A:B,2,FALSE())</f>
        <v>Type d'échantillon</v>
      </c>
      <c r="B219" s="17" t="s">
        <v>529</v>
      </c>
      <c r="C219" s="17" t="s">
        <v>408</v>
      </c>
      <c r="D219" s="17" t="s">
        <v>408</v>
      </c>
      <c r="E219" s="17" t="s">
        <v>1149</v>
      </c>
      <c r="F219" s="17" t="s">
        <v>407</v>
      </c>
    </row>
    <row r="220" customFormat="false" ht="14.25" hidden="false" customHeight="true" outlineLevel="0" collapsed="false">
      <c r="A220" s="17" t="str">
        <f aca="false">VLOOKUP(B220,Feuil1!A:B,2,FALSE())</f>
        <v>District - sérotype S. pneumoniae</v>
      </c>
      <c r="B220" s="17" t="s">
        <v>545</v>
      </c>
      <c r="C220" s="17" t="s">
        <v>364</v>
      </c>
      <c r="D220" s="17" t="s">
        <v>364</v>
      </c>
      <c r="E220" s="17" t="s">
        <v>364</v>
      </c>
      <c r="F220" s="17" t="s">
        <v>365</v>
      </c>
    </row>
    <row r="221" customFormat="false" ht="14.25" hidden="false" customHeight="true" outlineLevel="0" collapsed="false">
      <c r="A221" s="17" t="str">
        <f aca="false">VLOOKUP(B221,Feuil1!A:B,2,FALSE())</f>
        <v>Type d'échantillon</v>
      </c>
      <c r="B221" s="17" t="s">
        <v>529</v>
      </c>
      <c r="C221" s="17" t="s">
        <v>253</v>
      </c>
      <c r="D221" s="17" t="s">
        <v>253</v>
      </c>
      <c r="E221" s="17" t="s">
        <v>1150</v>
      </c>
      <c r="F221" s="17" t="s">
        <v>252</v>
      </c>
    </row>
    <row r="222" customFormat="false" ht="14.25" hidden="false" customHeight="true" outlineLevel="0" collapsed="false">
      <c r="A222" s="17" t="e">
        <f aca="false">VLOOKUP(B222,Feuil1!A:B,2,FALSE())</f>
        <v>#N/A</v>
      </c>
      <c r="B222" s="17" t="s">
        <v>776</v>
      </c>
      <c r="C222" s="17" t="s">
        <v>1151</v>
      </c>
      <c r="D222" s="17" t="s">
        <v>1151</v>
      </c>
      <c r="E222" s="17" t="s">
        <v>1152</v>
      </c>
      <c r="F222" s="17" t="s">
        <v>1153</v>
      </c>
    </row>
    <row r="223" customFormat="false" ht="14.25" hidden="false" customHeight="true" outlineLevel="0" collapsed="false">
      <c r="A223" s="17" t="str">
        <f aca="false">VLOOKUP(B223,Feuil1!A:B,2,FALSE())</f>
        <v>District - Résultat de la coloration de Gram</v>
      </c>
      <c r="B223" s="17" t="s">
        <v>571</v>
      </c>
      <c r="C223" s="17" t="s">
        <v>379</v>
      </c>
      <c r="D223" s="17" t="s">
        <v>379</v>
      </c>
      <c r="E223" s="17" t="s">
        <v>379</v>
      </c>
      <c r="F223" s="17" t="s">
        <v>378</v>
      </c>
    </row>
    <row r="224" customFormat="false" ht="14.25" hidden="false" customHeight="true" outlineLevel="0" collapsed="false">
      <c r="A224" s="17" t="e">
        <f aca="false">VLOOKUP(B224,Feuil1!A:B,2,FALSE())</f>
        <v>#N/A</v>
      </c>
      <c r="B224" s="17" t="s">
        <v>1154</v>
      </c>
      <c r="C224" s="17" t="s">
        <v>974</v>
      </c>
      <c r="D224" s="17" t="s">
        <v>974</v>
      </c>
      <c r="E224" s="17" t="s">
        <v>375</v>
      </c>
      <c r="F224" s="17" t="s">
        <v>1155</v>
      </c>
    </row>
    <row r="225" customFormat="false" ht="14.25" hidden="false" customHeight="true" outlineLevel="0" collapsed="false">
      <c r="A225" s="17" t="e">
        <f aca="false">VLOOKUP(B225,Feuil1!A:B,2,FALSE())</f>
        <v>#N/A</v>
      </c>
      <c r="B225" s="17" t="s">
        <v>812</v>
      </c>
      <c r="C225" s="17" t="s">
        <v>1156</v>
      </c>
      <c r="D225" s="17" t="s">
        <v>1156</v>
      </c>
      <c r="E225" s="17" t="s">
        <v>1157</v>
      </c>
      <c r="F225" s="17" t="s">
        <v>1158</v>
      </c>
    </row>
    <row r="226" customFormat="false" ht="14.25" hidden="false" customHeight="true" outlineLevel="0" collapsed="false">
      <c r="A226" s="17" t="e">
        <f aca="false">VLOOKUP(B226,Feuil1!A:B,2,FALSE())</f>
        <v>#N/A</v>
      </c>
      <c r="B226" s="17" t="s">
        <v>836</v>
      </c>
      <c r="C226" s="17" t="s">
        <v>1159</v>
      </c>
      <c r="D226" s="17" t="s">
        <v>1159</v>
      </c>
      <c r="E226" s="17" t="s">
        <v>1159</v>
      </c>
      <c r="F226" s="17" t="s">
        <v>1160</v>
      </c>
    </row>
    <row r="227" customFormat="false" ht="14.25" hidden="false" customHeight="true" outlineLevel="0" collapsed="false">
      <c r="A227" s="17" t="e">
        <f aca="false">VLOOKUP(B227,Feuil1!A:B,2,FALSE())</f>
        <v>#N/A</v>
      </c>
      <c r="B227" s="17" t="s">
        <v>776</v>
      </c>
      <c r="C227" s="17" t="s">
        <v>1161</v>
      </c>
      <c r="D227" s="17" t="s">
        <v>1161</v>
      </c>
      <c r="E227" s="17" t="s">
        <v>1162</v>
      </c>
      <c r="F227" s="17" t="s">
        <v>1163</v>
      </c>
    </row>
    <row r="228" customFormat="false" ht="14.25" hidden="false" customHeight="true" outlineLevel="0" collapsed="false">
      <c r="A228" s="17" t="str">
        <f aca="false">VLOOKUP(B228,Feuil1!A:B,2,FALSE())</f>
        <v>Type d'échantillon</v>
      </c>
      <c r="B228" s="17" t="s">
        <v>529</v>
      </c>
      <c r="C228" s="17" t="s">
        <v>410</v>
      </c>
      <c r="D228" s="17" t="s">
        <v>410</v>
      </c>
      <c r="E228" s="17" t="s">
        <v>1164</v>
      </c>
      <c r="F228" s="17" t="s">
        <v>409</v>
      </c>
    </row>
    <row r="229" customFormat="false" ht="14.25" hidden="false" customHeight="true" outlineLevel="0" collapsed="false">
      <c r="A229" s="17" t="str">
        <f aca="false">VLOOKUP(B229,Feuil1!A:B,2,FALSE())</f>
        <v>District - Résultat final du laboratoire</v>
      </c>
      <c r="B229" s="17" t="s">
        <v>505</v>
      </c>
      <c r="C229" s="17" t="s">
        <v>219</v>
      </c>
      <c r="D229" s="17" t="s">
        <v>219</v>
      </c>
      <c r="E229" s="17" t="s">
        <v>219</v>
      </c>
      <c r="F229" s="17" t="s">
        <v>218</v>
      </c>
    </row>
    <row r="230" customFormat="false" ht="14.25" hidden="false" customHeight="true" outlineLevel="0" collapsed="false">
      <c r="A230" s="17" t="str">
        <f aca="false">VLOOKUP(B230,Feuil1!A:B,2,FALSE())</f>
        <v>District - Résultat final du laboratoire</v>
      </c>
      <c r="B230" s="17" t="s">
        <v>505</v>
      </c>
      <c r="C230" s="17" t="s">
        <v>274</v>
      </c>
      <c r="D230" s="17" t="s">
        <v>274</v>
      </c>
      <c r="E230" s="17" t="s">
        <v>274</v>
      </c>
      <c r="F230" s="17" t="s">
        <v>275</v>
      </c>
    </row>
    <row r="231" customFormat="false" ht="14.25" hidden="false" customHeight="true" outlineLevel="0" collapsed="false">
      <c r="A231" s="17" t="e">
        <f aca="false">VLOOKUP(B231,Feuil1!A:B,2,FALSE())</f>
        <v>#N/A</v>
      </c>
      <c r="B231" s="17" t="s">
        <v>888</v>
      </c>
      <c r="C231" s="17" t="s">
        <v>307</v>
      </c>
      <c r="D231" s="17" t="s">
        <v>307</v>
      </c>
      <c r="E231" s="17" t="s">
        <v>50</v>
      </c>
      <c r="F231" s="17" t="s">
        <v>1165</v>
      </c>
    </row>
    <row r="232" customFormat="false" ht="14.25" hidden="false" customHeight="true" outlineLevel="0" collapsed="false">
      <c r="A232" s="17" t="str">
        <f aca="false">VLOOKUP(B232,Feuil1!A:B,2,FALSE())</f>
        <v>District - sérotype S. pneumoniae</v>
      </c>
      <c r="B232" s="17" t="s">
        <v>545</v>
      </c>
      <c r="C232" s="17" t="s">
        <v>74</v>
      </c>
      <c r="D232" s="17" t="s">
        <v>74</v>
      </c>
      <c r="E232" s="17" t="s">
        <v>74</v>
      </c>
      <c r="F232" s="17" t="s">
        <v>73</v>
      </c>
    </row>
    <row r="233" customFormat="false" ht="14.25" hidden="false" customHeight="true" outlineLevel="0" collapsed="false">
      <c r="A233" s="17" t="e">
        <f aca="false">VLOOKUP(B233,Feuil1!A:B,2,FALSE())</f>
        <v>#N/A</v>
      </c>
      <c r="B233" s="17" t="s">
        <v>1154</v>
      </c>
      <c r="C233" s="17" t="s">
        <v>1166</v>
      </c>
      <c r="D233" s="17" t="s">
        <v>1166</v>
      </c>
      <c r="E233" s="17" t="s">
        <v>1167</v>
      </c>
      <c r="F233" s="17" t="s">
        <v>1168</v>
      </c>
    </row>
    <row r="234" customFormat="false" ht="14.25" hidden="false" customHeight="true" outlineLevel="0" collapsed="false">
      <c r="A234" s="17" t="e">
        <f aca="false">VLOOKUP(B234,Feuil1!A:B,2,FALSE())</f>
        <v>#N/A</v>
      </c>
      <c r="B234" s="17" t="s">
        <v>868</v>
      </c>
      <c r="C234" s="17" t="s">
        <v>1169</v>
      </c>
      <c r="D234" s="17" t="s">
        <v>1169</v>
      </c>
      <c r="E234" s="17" t="s">
        <v>1169</v>
      </c>
      <c r="F234" s="17" t="s">
        <v>1170</v>
      </c>
    </row>
    <row r="235" customFormat="false" ht="14.25" hidden="false" customHeight="true" outlineLevel="0" collapsed="false">
      <c r="A235" s="17" t="str">
        <f aca="false">VLOOKUP(B235,Feuil1!A:B,2,FALSE())</f>
        <v>District - sérotype S. pneumoniae</v>
      </c>
      <c r="B235" s="17" t="s">
        <v>545</v>
      </c>
      <c r="C235" s="17" t="n">
        <v>5</v>
      </c>
      <c r="D235" s="17" t="n">
        <v>5</v>
      </c>
      <c r="E235" s="17" t="n">
        <v>5</v>
      </c>
      <c r="F235" s="17" t="s">
        <v>136</v>
      </c>
    </row>
    <row r="236" customFormat="false" ht="14.25" hidden="false" customHeight="true" outlineLevel="0" collapsed="false">
      <c r="A236" s="17" t="e">
        <f aca="false">VLOOKUP(B236,Feuil1!A:B,2,FALSE())</f>
        <v>#N/A</v>
      </c>
      <c r="B236" s="17" t="s">
        <v>931</v>
      </c>
      <c r="C236" s="17" t="s">
        <v>1171</v>
      </c>
      <c r="D236" s="17" t="s">
        <v>1171</v>
      </c>
      <c r="E236" s="17" t="s">
        <v>1171</v>
      </c>
      <c r="F236" s="17" t="s">
        <v>1172</v>
      </c>
    </row>
    <row r="237" customFormat="false" ht="14.25" hidden="false" customHeight="true" outlineLevel="0" collapsed="false">
      <c r="A237" s="17" t="e">
        <f aca="false">VLOOKUP(B237,Feuil1!A:B,2,FALSE())</f>
        <v>#N/A</v>
      </c>
      <c r="B237" s="17" t="s">
        <v>927</v>
      </c>
      <c r="C237" s="17" t="s">
        <v>889</v>
      </c>
      <c r="D237" s="17" t="s">
        <v>889</v>
      </c>
      <c r="E237" s="17" t="s">
        <v>889</v>
      </c>
      <c r="F237" s="17" t="s">
        <v>1173</v>
      </c>
    </row>
    <row r="238" customFormat="false" ht="14.25" hidden="false" customHeight="true" outlineLevel="0" collapsed="false">
      <c r="A238" s="17" t="e">
        <f aca="false">VLOOKUP(B238,Feuil1!A:B,2,FALSE())</f>
        <v>#N/A</v>
      </c>
      <c r="B238" s="17" t="s">
        <v>776</v>
      </c>
      <c r="C238" s="17" t="s">
        <v>1174</v>
      </c>
      <c r="D238" s="17" t="s">
        <v>1174</v>
      </c>
      <c r="E238" s="17" t="s">
        <v>1175</v>
      </c>
      <c r="F238" s="17" t="s">
        <v>1176</v>
      </c>
    </row>
    <row r="239" customFormat="false" ht="14.25" hidden="false" customHeight="true" outlineLevel="0" collapsed="false">
      <c r="A239" s="17" t="e">
        <f aca="false">VLOOKUP(B239,Feuil1!A:B,2,FALSE())</f>
        <v>#N/A</v>
      </c>
      <c r="B239" s="17" t="s">
        <v>1177</v>
      </c>
      <c r="C239" s="17" t="s">
        <v>1178</v>
      </c>
      <c r="D239" s="17" t="s">
        <v>1178</v>
      </c>
      <c r="E239" s="17" t="s">
        <v>1178</v>
      </c>
      <c r="F239" s="17" t="s">
        <v>1179</v>
      </c>
    </row>
    <row r="240" customFormat="false" ht="14.25" hidden="false" customHeight="true" outlineLevel="0" collapsed="false">
      <c r="A240" s="17" t="e">
        <f aca="false">VLOOKUP(B240,Feuil1!A:B,2,FALSE())</f>
        <v>#N/A</v>
      </c>
      <c r="B240" s="17" t="s">
        <v>865</v>
      </c>
      <c r="C240" s="17" t="s">
        <v>1180</v>
      </c>
      <c r="D240" s="17" t="s">
        <v>1180</v>
      </c>
      <c r="E240" s="17" t="s">
        <v>1181</v>
      </c>
      <c r="F240" s="17" t="s">
        <v>1182</v>
      </c>
    </row>
    <row r="241" customFormat="false" ht="14.25" hidden="false" customHeight="true" outlineLevel="0" collapsed="false">
      <c r="A241" s="17" t="str">
        <f aca="false">VLOOKUP(B241,Feuil1!A:B,2,FALSE())</f>
        <v>District - sérotype S. pneumoniae</v>
      </c>
      <c r="B241" s="17" t="s">
        <v>545</v>
      </c>
      <c r="C241" s="17" t="n">
        <v>39</v>
      </c>
      <c r="D241" s="17" t="n">
        <v>39</v>
      </c>
      <c r="E241" s="17" t="n">
        <v>39</v>
      </c>
      <c r="F241" s="17" t="s">
        <v>132</v>
      </c>
    </row>
    <row r="242" customFormat="false" ht="14.25" hidden="false" customHeight="true" outlineLevel="0" collapsed="false">
      <c r="A242" s="17" t="e">
        <f aca="false">VLOOKUP(B242,Feuil1!A:B,2,FALSE())</f>
        <v>#N/A</v>
      </c>
      <c r="B242" s="17" t="s">
        <v>938</v>
      </c>
      <c r="C242" s="17" t="s">
        <v>1183</v>
      </c>
      <c r="D242" s="17" t="s">
        <v>1183</v>
      </c>
      <c r="E242" s="17" t="s">
        <v>1184</v>
      </c>
      <c r="F242" s="17" t="s">
        <v>1185</v>
      </c>
    </row>
    <row r="243" customFormat="false" ht="14.25" hidden="false" customHeight="true" outlineLevel="0" collapsed="false">
      <c r="A243" s="17" t="str">
        <f aca="false">VLOOKUP(B243,Feuil1!A:B,2,FALSE())</f>
        <v>Type d'échantillon</v>
      </c>
      <c r="B243" s="17" t="s">
        <v>529</v>
      </c>
      <c r="C243" s="17" t="s">
        <v>176</v>
      </c>
      <c r="D243" s="17" t="s">
        <v>176</v>
      </c>
      <c r="E243" s="17" t="s">
        <v>176</v>
      </c>
      <c r="F243" s="17" t="s">
        <v>175</v>
      </c>
    </row>
    <row r="244" customFormat="false" ht="14.25" hidden="false" customHeight="true" outlineLevel="0" collapsed="false">
      <c r="A244" s="17" t="e">
        <f aca="false">VLOOKUP(B244,Feuil1!A:B,2,FALSE())</f>
        <v>#N/A</v>
      </c>
      <c r="B244" s="17" t="s">
        <v>1186</v>
      </c>
      <c r="C244" s="17" t="s">
        <v>1187</v>
      </c>
      <c r="D244" s="17" t="s">
        <v>1187</v>
      </c>
      <c r="E244" s="17" t="s">
        <v>1188</v>
      </c>
      <c r="F244" s="17" t="s">
        <v>1189</v>
      </c>
    </row>
    <row r="245" customFormat="false" ht="14.25" hidden="false" customHeight="true" outlineLevel="0" collapsed="false">
      <c r="A245" s="17" t="e">
        <f aca="false">VLOOKUP(B245,Feuil1!A:B,2,FALSE())</f>
        <v>#N/A</v>
      </c>
      <c r="B245" s="17" t="s">
        <v>1190</v>
      </c>
      <c r="C245" s="17" t="s">
        <v>1191</v>
      </c>
      <c r="D245" s="17" t="s">
        <v>1191</v>
      </c>
      <c r="E245" s="17" t="s">
        <v>1191</v>
      </c>
      <c r="F245" s="17" t="s">
        <v>1192</v>
      </c>
    </row>
    <row r="246" customFormat="false" ht="14.25" hidden="false" customHeight="true" outlineLevel="0" collapsed="false">
      <c r="A246" s="17" t="e">
        <f aca="false">VLOOKUP(B246,Feuil1!A:B,2,FALSE())</f>
        <v>#N/A</v>
      </c>
      <c r="B246" s="17" t="s">
        <v>892</v>
      </c>
      <c r="C246" s="17" t="s">
        <v>1193</v>
      </c>
      <c r="D246" s="17" t="s">
        <v>1193</v>
      </c>
      <c r="E246" s="17" t="s">
        <v>1193</v>
      </c>
      <c r="F246" s="17" t="s">
        <v>1194</v>
      </c>
    </row>
    <row r="247" customFormat="false" ht="14.25" hidden="false" customHeight="true" outlineLevel="0" collapsed="false">
      <c r="A247" s="17" t="e">
        <f aca="false">VLOOKUP(B247,Feuil1!A:B,2,FALSE())</f>
        <v>#N/A</v>
      </c>
      <c r="B247" s="17" t="s">
        <v>1195</v>
      </c>
      <c r="C247" s="17" t="s">
        <v>1196</v>
      </c>
      <c r="D247" s="17" t="s">
        <v>1196</v>
      </c>
      <c r="E247" s="17" t="s">
        <v>1196</v>
      </c>
      <c r="F247" s="17" t="s">
        <v>1197</v>
      </c>
    </row>
    <row r="248" customFormat="false" ht="14.25" hidden="false" customHeight="true" outlineLevel="0" collapsed="false">
      <c r="A248" s="17" t="str">
        <f aca="false">VLOOKUP(B248,Feuil1!A:B,2,FALSE())</f>
        <v>District - sérotype S. pneumoniae</v>
      </c>
      <c r="B248" s="17" t="s">
        <v>545</v>
      </c>
      <c r="C248" s="17" t="s">
        <v>78</v>
      </c>
      <c r="D248" s="17" t="s">
        <v>78</v>
      </c>
      <c r="E248" s="17" t="s">
        <v>1198</v>
      </c>
      <c r="F248" s="17" t="s">
        <v>77</v>
      </c>
    </row>
    <row r="249" customFormat="false" ht="14.25" hidden="false" customHeight="true" outlineLevel="0" collapsed="false">
      <c r="A249" s="17" t="e">
        <f aca="false">VLOOKUP(B249,Feuil1!A:B,2,FALSE())</f>
        <v>#N/A</v>
      </c>
      <c r="B249" s="17" t="s">
        <v>1099</v>
      </c>
      <c r="C249" s="17" t="s">
        <v>1199</v>
      </c>
      <c r="D249" s="17" t="s">
        <v>1199</v>
      </c>
      <c r="E249" s="17" t="s">
        <v>1199</v>
      </c>
      <c r="F249" s="17" t="s">
        <v>1200</v>
      </c>
    </row>
    <row r="250" customFormat="false" ht="14.25" hidden="false" customHeight="true" outlineLevel="0" collapsed="false">
      <c r="A250" s="17" t="e">
        <f aca="false">VLOOKUP(B250,Feuil1!A:B,2,FALSE())</f>
        <v>#N/A</v>
      </c>
      <c r="B250" s="17" t="s">
        <v>851</v>
      </c>
      <c r="C250" s="17" t="s">
        <v>1201</v>
      </c>
      <c r="D250" s="17" t="s">
        <v>1201</v>
      </c>
      <c r="E250" s="17" t="s">
        <v>1201</v>
      </c>
      <c r="F250" s="17" t="s">
        <v>1202</v>
      </c>
    </row>
    <row r="251" customFormat="false" ht="14.25" hidden="false" customHeight="true" outlineLevel="0" collapsed="false">
      <c r="A251" s="17" t="str">
        <f aca="false">VLOOKUP(B251,Feuil1!A:B,2,FALSE())</f>
        <v>District - sérotype S. pneumoniae</v>
      </c>
      <c r="B251" s="17" t="s">
        <v>545</v>
      </c>
      <c r="C251" s="17" t="s">
        <v>84</v>
      </c>
      <c r="D251" s="17" t="s">
        <v>84</v>
      </c>
      <c r="E251" s="17" t="s">
        <v>84</v>
      </c>
      <c r="F251" s="17" t="s">
        <v>83</v>
      </c>
    </row>
    <row r="252" customFormat="false" ht="14.25" hidden="false" customHeight="true" outlineLevel="0" collapsed="false">
      <c r="A252" s="17" t="e">
        <f aca="false">VLOOKUP(B252,Feuil1!A:B,2,FALSE())</f>
        <v>#N/A</v>
      </c>
      <c r="B252" s="17" t="s">
        <v>776</v>
      </c>
      <c r="C252" s="17" t="s">
        <v>1203</v>
      </c>
      <c r="D252" s="17" t="s">
        <v>1203</v>
      </c>
      <c r="E252" s="17" t="s">
        <v>1203</v>
      </c>
      <c r="F252" s="17" t="s">
        <v>1204</v>
      </c>
    </row>
    <row r="253" customFormat="false" ht="14.25" hidden="false" customHeight="true" outlineLevel="0" collapsed="false">
      <c r="A253" s="17" t="e">
        <f aca="false">VLOOKUP(B253,Feuil1!A:B,2,FALSE())</f>
        <v>#N/A</v>
      </c>
      <c r="B253" s="17" t="s">
        <v>1205</v>
      </c>
      <c r="C253" s="17" t="s">
        <v>463</v>
      </c>
      <c r="D253" s="17" t="s">
        <v>463</v>
      </c>
      <c r="E253" s="17" t="s">
        <v>463</v>
      </c>
      <c r="F253" s="17" t="s">
        <v>1206</v>
      </c>
    </row>
    <row r="254" customFormat="false" ht="14.25" hidden="false" customHeight="true" outlineLevel="0" collapsed="false">
      <c r="A254" s="17" t="e">
        <f aca="false">VLOOKUP(B254,Feuil1!A:B,2,FALSE())</f>
        <v>#N/A</v>
      </c>
      <c r="B254" s="17" t="s">
        <v>973</v>
      </c>
      <c r="C254" s="17" t="s">
        <v>1207</v>
      </c>
      <c r="D254" s="17" t="s">
        <v>1207</v>
      </c>
      <c r="E254" s="17" t="s">
        <v>1208</v>
      </c>
      <c r="F254" s="17" t="s">
        <v>1209</v>
      </c>
    </row>
    <row r="255" customFormat="false" ht="14.25" hidden="false" customHeight="true" outlineLevel="0" collapsed="false">
      <c r="A255" s="17" t="str">
        <f aca="false">VLOOKUP(B255,Feuil1!A:B,2,FALSE())</f>
        <v>District - Aspect de l'échantillon / examen macroscopique (LCR)</v>
      </c>
      <c r="B255" s="17" t="s">
        <v>595</v>
      </c>
      <c r="C255" s="17" t="s">
        <v>214</v>
      </c>
      <c r="D255" s="17" t="s">
        <v>214</v>
      </c>
      <c r="E255" s="17" t="s">
        <v>214</v>
      </c>
      <c r="F255" s="17" t="s">
        <v>213</v>
      </c>
    </row>
    <row r="256" customFormat="false" ht="14.25" hidden="false" customHeight="true" outlineLevel="0" collapsed="false">
      <c r="A256" s="17" t="e">
        <f aca="false">VLOOKUP(B256,Feuil1!A:B,2,FALSE())</f>
        <v>#N/A</v>
      </c>
      <c r="B256" s="17" t="s">
        <v>841</v>
      </c>
      <c r="C256" s="17" t="s">
        <v>1210</v>
      </c>
      <c r="D256" s="17" t="s">
        <v>1210</v>
      </c>
      <c r="E256" s="17" t="s">
        <v>1210</v>
      </c>
      <c r="F256" s="17" t="s">
        <v>1211</v>
      </c>
    </row>
    <row r="257" customFormat="false" ht="14.25" hidden="false" customHeight="true" outlineLevel="0" collapsed="false">
      <c r="A257" s="17" t="str">
        <f aca="false">VLOOKUP(B257,Feuil1!A:B,2,FALSE())</f>
        <v>District - Résultat de l'agglutination du latex</v>
      </c>
      <c r="B257" s="17" t="s">
        <v>551</v>
      </c>
      <c r="C257" s="17" t="s">
        <v>307</v>
      </c>
      <c r="D257" s="17" t="s">
        <v>307</v>
      </c>
      <c r="E257" s="17" t="s">
        <v>307</v>
      </c>
      <c r="F257" s="17" t="s">
        <v>310</v>
      </c>
    </row>
    <row r="258" customFormat="false" ht="14.25" hidden="false" customHeight="true" outlineLevel="0" collapsed="false">
      <c r="A258" s="17" t="str">
        <f aca="false">VLOOKUP(B258,Feuil1!A:B,2,FALSE())</f>
        <v>District - Résultat final du laboratoire</v>
      </c>
      <c r="B258" s="17" t="s">
        <v>505</v>
      </c>
      <c r="C258" s="17" t="s">
        <v>312</v>
      </c>
      <c r="D258" s="17" t="s">
        <v>312</v>
      </c>
      <c r="E258" s="17" t="s">
        <v>1212</v>
      </c>
      <c r="F258" s="17" t="s">
        <v>311</v>
      </c>
    </row>
    <row r="259" customFormat="false" ht="14.25" hidden="false" customHeight="true" outlineLevel="0" collapsed="false">
      <c r="A259" s="17" t="str">
        <f aca="false">VLOOKUP(B259,Feuil1!A:B,2,FALSE())</f>
        <v>Type d'échantillon</v>
      </c>
      <c r="B259" s="17" t="s">
        <v>529</v>
      </c>
      <c r="C259" s="17" t="s">
        <v>302</v>
      </c>
      <c r="D259" s="17" t="s">
        <v>302</v>
      </c>
      <c r="E259" s="17" t="s">
        <v>1213</v>
      </c>
      <c r="F259" s="17" t="s">
        <v>301</v>
      </c>
    </row>
    <row r="260" customFormat="false" ht="14.25" hidden="false" customHeight="true" outlineLevel="0" collapsed="false">
      <c r="A260" s="17" t="e">
        <f aca="false">VLOOKUP(B260,Feuil1!A:B,2,FALSE())</f>
        <v>#N/A</v>
      </c>
      <c r="B260" s="17" t="s">
        <v>1186</v>
      </c>
      <c r="C260" s="17" t="s">
        <v>1214</v>
      </c>
      <c r="D260" s="17" t="s">
        <v>1214</v>
      </c>
      <c r="E260" s="17" t="s">
        <v>1215</v>
      </c>
      <c r="F260" s="17" t="s">
        <v>1216</v>
      </c>
    </row>
    <row r="261" customFormat="false" ht="14.25" hidden="false" customHeight="true" outlineLevel="0" collapsed="false">
      <c r="A261" s="17" t="str">
        <f aca="false">VLOOKUP(B261,Feuil1!A:B,2,FALSE())</f>
        <v>District - Résultat final du laboratoire</v>
      </c>
      <c r="B261" s="17" t="s">
        <v>505</v>
      </c>
      <c r="C261" s="17" t="s">
        <v>406</v>
      </c>
      <c r="D261" s="17" t="s">
        <v>406</v>
      </c>
      <c r="E261" s="17" t="s">
        <v>406</v>
      </c>
      <c r="F261" s="17" t="s">
        <v>405</v>
      </c>
    </row>
    <row r="262" customFormat="false" ht="14.25" hidden="false" customHeight="true" outlineLevel="0" collapsed="false">
      <c r="A262" s="17" t="str">
        <f aca="false">VLOOKUP(B262,Feuil1!A:B,2,FALSE())</f>
        <v>District - Résultat final du laboratoire</v>
      </c>
      <c r="B262" s="17" t="s">
        <v>505</v>
      </c>
      <c r="C262" s="17" t="s">
        <v>375</v>
      </c>
      <c r="D262" s="17" t="s">
        <v>375</v>
      </c>
      <c r="E262" s="17" t="s">
        <v>1014</v>
      </c>
      <c r="F262" s="17" t="s">
        <v>377</v>
      </c>
    </row>
    <row r="263" customFormat="false" ht="14.25" hidden="false" customHeight="true" outlineLevel="0" collapsed="false">
      <c r="A263" s="17" t="e">
        <f aca="false">VLOOKUP(B263,Feuil1!A:B,2,FALSE())</f>
        <v>#N/A</v>
      </c>
      <c r="B263" s="17" t="s">
        <v>915</v>
      </c>
      <c r="C263" s="17" t="s">
        <v>463</v>
      </c>
      <c r="D263" s="17" t="s">
        <v>463</v>
      </c>
      <c r="E263" s="17" t="s">
        <v>463</v>
      </c>
      <c r="F263" s="17" t="s">
        <v>1217</v>
      </c>
    </row>
    <row r="264" customFormat="false" ht="14.25" hidden="false" customHeight="true" outlineLevel="0" collapsed="false">
      <c r="A264" s="17" t="e">
        <f aca="false">VLOOKUP(B264,Feuil1!A:B,2,FALSE())</f>
        <v>#N/A</v>
      </c>
      <c r="B264" s="17" t="s">
        <v>997</v>
      </c>
      <c r="C264" s="17" t="s">
        <v>1218</v>
      </c>
      <c r="D264" s="17" t="s">
        <v>1218</v>
      </c>
      <c r="E264" s="17" t="s">
        <v>1218</v>
      </c>
      <c r="F264" s="17" t="s">
        <v>1219</v>
      </c>
    </row>
    <row r="265" customFormat="false" ht="14.25" hidden="false" customHeight="true" outlineLevel="0" collapsed="false">
      <c r="A265" s="17" t="e">
        <f aca="false">VLOOKUP(B265,Feuil1!A:B,2,FALSE())</f>
        <v>#N/A</v>
      </c>
      <c r="B265" s="17" t="s">
        <v>927</v>
      </c>
      <c r="C265" s="17" t="s">
        <v>1220</v>
      </c>
      <c r="D265" s="17" t="s">
        <v>1220</v>
      </c>
      <c r="E265" s="17" t="s">
        <v>1221</v>
      </c>
      <c r="F265" s="17" t="s">
        <v>1222</v>
      </c>
    </row>
    <row r="266" customFormat="false" ht="14.25" hidden="false" customHeight="true" outlineLevel="0" collapsed="false">
      <c r="A266" s="17" t="e">
        <f aca="false">VLOOKUP(B266,Feuil1!A:B,2,FALSE())</f>
        <v>#N/A</v>
      </c>
      <c r="B266" s="17" t="s">
        <v>1205</v>
      </c>
      <c r="C266" s="17" t="s">
        <v>375</v>
      </c>
      <c r="D266" s="17" t="s">
        <v>375</v>
      </c>
      <c r="E266" s="17" t="s">
        <v>375</v>
      </c>
      <c r="F266" s="17" t="s">
        <v>1223</v>
      </c>
    </row>
    <row r="267" customFormat="false" ht="14.25" hidden="false" customHeight="true" outlineLevel="0" collapsed="false">
      <c r="A267" s="17" t="e">
        <f aca="false">VLOOKUP(B267,Feuil1!A:B,2,FALSE())</f>
        <v>#N/A</v>
      </c>
      <c r="B267" s="17" t="s">
        <v>955</v>
      </c>
      <c r="C267" s="17" t="s">
        <v>375</v>
      </c>
      <c r="D267" s="17" t="s">
        <v>375</v>
      </c>
      <c r="E267" s="17" t="s">
        <v>375</v>
      </c>
      <c r="F267" s="17" t="s">
        <v>1224</v>
      </c>
    </row>
    <row r="268" customFormat="false" ht="14.25" hidden="false" customHeight="true" outlineLevel="0" collapsed="false">
      <c r="A268" s="17" t="e">
        <f aca="false">VLOOKUP(B268,Feuil1!A:B,2,FALSE())</f>
        <v>#N/A</v>
      </c>
      <c r="B268" s="17" t="s">
        <v>776</v>
      </c>
      <c r="C268" s="17" t="s">
        <v>1225</v>
      </c>
      <c r="D268" s="17" t="s">
        <v>1225</v>
      </c>
      <c r="E268" s="17" t="s">
        <v>1226</v>
      </c>
      <c r="F268" s="17" t="s">
        <v>1227</v>
      </c>
    </row>
    <row r="269" customFormat="false" ht="14.25" hidden="false" customHeight="true" outlineLevel="0" collapsed="false">
      <c r="A269" s="17" t="e">
        <f aca="false">VLOOKUP(B269,Feuil1!A:B,2,FALSE())</f>
        <v>#N/A</v>
      </c>
      <c r="B269" s="17" t="s">
        <v>888</v>
      </c>
      <c r="C269" s="17" t="s">
        <v>1228</v>
      </c>
      <c r="D269" s="17" t="s">
        <v>1228</v>
      </c>
      <c r="E269" s="17" t="s">
        <v>1229</v>
      </c>
      <c r="F269" s="17" t="s">
        <v>1230</v>
      </c>
    </row>
    <row r="270" customFormat="false" ht="14.25" hidden="false" customHeight="true" outlineLevel="0" collapsed="false">
      <c r="A270" s="17" t="str">
        <f aca="false">VLOOKUP(B270,Feuil1!A:B,2,FALSE())</f>
        <v>District - sérotype S. pneumoniae</v>
      </c>
      <c r="B270" s="17" t="s">
        <v>545</v>
      </c>
      <c r="C270" s="17" t="s">
        <v>90</v>
      </c>
      <c r="D270" s="17" t="s">
        <v>90</v>
      </c>
      <c r="E270" s="17" t="s">
        <v>90</v>
      </c>
      <c r="F270" s="17" t="s">
        <v>89</v>
      </c>
    </row>
    <row r="271" customFormat="false" ht="14.25" hidden="false" customHeight="true" outlineLevel="0" collapsed="false">
      <c r="A271" s="17" t="e">
        <f aca="false">VLOOKUP(B271,Feuil1!A:B,2,FALSE())</f>
        <v>#N/A</v>
      </c>
      <c r="B271" s="17" t="s">
        <v>836</v>
      </c>
      <c r="C271" s="17" t="s">
        <v>1231</v>
      </c>
      <c r="D271" s="17" t="s">
        <v>1231</v>
      </c>
      <c r="E271" s="17" t="s">
        <v>1231</v>
      </c>
      <c r="F271" s="17" t="s">
        <v>1232</v>
      </c>
    </row>
    <row r="272" customFormat="false" ht="14.25" hidden="false" customHeight="true" outlineLevel="0" collapsed="false">
      <c r="A272" s="17" t="str">
        <f aca="false">VLOOKUP(B272,Feuil1!A:B,2,FALSE())</f>
        <v>District - Résultat du PCR</v>
      </c>
      <c r="B272" s="17" t="s">
        <v>651</v>
      </c>
      <c r="C272" s="17" t="s">
        <v>338</v>
      </c>
      <c r="D272" s="17" t="s">
        <v>338</v>
      </c>
      <c r="E272" s="17" t="s">
        <v>338</v>
      </c>
      <c r="F272" s="17" t="s">
        <v>340</v>
      </c>
    </row>
    <row r="273" customFormat="false" ht="14.25" hidden="false" customHeight="true" outlineLevel="0" collapsed="false">
      <c r="A273" s="17" t="str">
        <f aca="false">VLOOKUP(B273,Feuil1!A:B,2,FALSE())</f>
        <v>District - Aspect de l'échantillon / examen macroscopique (LCR)</v>
      </c>
      <c r="B273" s="17" t="s">
        <v>595</v>
      </c>
      <c r="C273" s="17" t="s">
        <v>212</v>
      </c>
      <c r="D273" s="17" t="s">
        <v>212</v>
      </c>
      <c r="E273" s="17" t="s">
        <v>212</v>
      </c>
      <c r="F273" s="17" t="s">
        <v>211</v>
      </c>
    </row>
    <row r="274" customFormat="false" ht="14.25" hidden="false" customHeight="true" outlineLevel="0" collapsed="false">
      <c r="A274" s="17" t="e">
        <f aca="false">VLOOKUP(B274,Feuil1!A:B,2,FALSE())</f>
        <v>#N/A</v>
      </c>
      <c r="B274" s="17" t="s">
        <v>1233</v>
      </c>
      <c r="C274" s="17" t="s">
        <v>463</v>
      </c>
      <c r="D274" s="17" t="s">
        <v>463</v>
      </c>
      <c r="E274" s="17" t="s">
        <v>463</v>
      </c>
      <c r="F274" s="17" t="s">
        <v>1234</v>
      </c>
    </row>
    <row r="275" customFormat="false" ht="14.25" hidden="false" customHeight="true" outlineLevel="0" collapsed="false">
      <c r="A275" s="17" t="str">
        <f aca="false">VLOOKUP(B275,Feuil1!A:B,2,FALSE())</f>
        <v>District - Résultat de la coloration de Gram</v>
      </c>
      <c r="B275" s="17" t="s">
        <v>571</v>
      </c>
      <c r="C275" s="17" t="s">
        <v>358</v>
      </c>
      <c r="D275" s="17" t="s">
        <v>358</v>
      </c>
      <c r="E275" s="17" t="s">
        <v>1007</v>
      </c>
      <c r="F275" s="17" t="s">
        <v>357</v>
      </c>
    </row>
    <row r="276" customFormat="false" ht="14.25" hidden="false" customHeight="true" outlineLevel="0" collapsed="false">
      <c r="A276" s="17" t="e">
        <f aca="false">VLOOKUP(B276,Feuil1!A:B,2,FALSE())</f>
        <v>#N/A</v>
      </c>
      <c r="B276" s="17" t="s">
        <v>927</v>
      </c>
      <c r="C276" s="17" t="s">
        <v>307</v>
      </c>
      <c r="D276" s="17" t="s">
        <v>307</v>
      </c>
      <c r="E276" s="17" t="s">
        <v>50</v>
      </c>
      <c r="F276" s="17" t="s">
        <v>1235</v>
      </c>
    </row>
    <row r="277" customFormat="false" ht="14.25" hidden="false" customHeight="true" outlineLevel="0" collapsed="false">
      <c r="A277" s="17" t="e">
        <f aca="false">VLOOKUP(B277,Feuil1!A:B,2,FALSE())</f>
        <v>#N/A</v>
      </c>
      <c r="B277" s="17" t="s">
        <v>1236</v>
      </c>
      <c r="C277" s="17" t="s">
        <v>857</v>
      </c>
      <c r="D277" s="17" t="s">
        <v>857</v>
      </c>
      <c r="E277" s="17" t="s">
        <v>857</v>
      </c>
      <c r="F277" s="17" t="s">
        <v>1237</v>
      </c>
    </row>
    <row r="278" customFormat="false" ht="14.25" hidden="false" customHeight="true" outlineLevel="0" collapsed="false">
      <c r="A278" s="17" t="e">
        <f aca="false">VLOOKUP(B278,Feuil1!A:B,2,FALSE())</f>
        <v>#N/A</v>
      </c>
      <c r="B278" s="17" t="s">
        <v>1195</v>
      </c>
      <c r="C278" s="17" t="s">
        <v>1238</v>
      </c>
      <c r="D278" s="17" t="s">
        <v>1238</v>
      </c>
      <c r="E278" s="17" t="s">
        <v>1238</v>
      </c>
      <c r="F278" s="17" t="s">
        <v>1239</v>
      </c>
    </row>
    <row r="279" customFormat="false" ht="14.25" hidden="false" customHeight="true" outlineLevel="0" collapsed="false">
      <c r="A279" s="17" t="str">
        <f aca="false">VLOOKUP(B279,Feuil1!A:B,2,FALSE())</f>
        <v>District - Nom du laboratoire</v>
      </c>
      <c r="B279" s="17" t="s">
        <v>541</v>
      </c>
      <c r="C279" s="17" t="s">
        <v>194</v>
      </c>
      <c r="D279" s="17" t="s">
        <v>194</v>
      </c>
      <c r="E279" s="17" t="s">
        <v>194</v>
      </c>
      <c r="F279" s="17" t="s">
        <v>193</v>
      </c>
    </row>
    <row r="280" customFormat="false" ht="14.25" hidden="false" customHeight="true" outlineLevel="0" collapsed="false">
      <c r="A280" s="17" t="e">
        <f aca="false">VLOOKUP(B280,Feuil1!A:B,2,FALSE())</f>
        <v>#N/A</v>
      </c>
      <c r="B280" s="17" t="s">
        <v>997</v>
      </c>
      <c r="C280" s="17" t="s">
        <v>1240</v>
      </c>
      <c r="D280" s="17" t="s">
        <v>1240</v>
      </c>
      <c r="E280" s="17" t="s">
        <v>1240</v>
      </c>
      <c r="F280" s="17" t="s">
        <v>1241</v>
      </c>
    </row>
    <row r="281" customFormat="false" ht="14.25" hidden="false" customHeight="true" outlineLevel="0" collapsed="false">
      <c r="A281" s="17" t="str">
        <f aca="false">VLOOKUP(B281,Feuil1!A:B,2,FALSE())</f>
        <v>Type d'échantillon</v>
      </c>
      <c r="B281" s="17" t="s">
        <v>529</v>
      </c>
      <c r="C281" s="17" t="s">
        <v>206</v>
      </c>
      <c r="D281" s="17" t="s">
        <v>206</v>
      </c>
      <c r="E281" s="17" t="s">
        <v>206</v>
      </c>
      <c r="F281" s="17" t="s">
        <v>205</v>
      </c>
    </row>
    <row r="282" customFormat="false" ht="14.25" hidden="false" customHeight="true" outlineLevel="0" collapsed="false">
      <c r="A282" s="17" t="e">
        <f aca="false">VLOOKUP(B282,Feuil1!A:B,2,FALSE())</f>
        <v>#N/A</v>
      </c>
      <c r="B282" s="17" t="s">
        <v>992</v>
      </c>
      <c r="C282" s="17" t="s">
        <v>1242</v>
      </c>
      <c r="D282" s="17" t="s">
        <v>1242</v>
      </c>
      <c r="E282" s="17" t="s">
        <v>1242</v>
      </c>
      <c r="F282" s="17" t="s">
        <v>1243</v>
      </c>
    </row>
    <row r="283" customFormat="false" ht="14.25" hidden="false" customHeight="true" outlineLevel="0" collapsed="false">
      <c r="A283" s="17" t="e">
        <f aca="false">VLOOKUP(B283,Feuil1!A:B,2,FALSE())</f>
        <v>#N/A</v>
      </c>
      <c r="B283" s="17" t="s">
        <v>1244</v>
      </c>
      <c r="C283" s="17" t="s">
        <v>1245</v>
      </c>
      <c r="D283" s="17" t="s">
        <v>1245</v>
      </c>
      <c r="E283" s="17" t="s">
        <v>1245</v>
      </c>
      <c r="F283" s="17" t="s">
        <v>1246</v>
      </c>
    </row>
    <row r="284" customFormat="false" ht="14.25" hidden="false" customHeight="true" outlineLevel="0" collapsed="false">
      <c r="A284" s="17" t="e">
        <f aca="false">VLOOKUP(B284,Feuil1!A:B,2,FALSE())</f>
        <v>#N/A</v>
      </c>
      <c r="B284" s="17" t="s">
        <v>776</v>
      </c>
      <c r="C284" s="17" t="s">
        <v>1247</v>
      </c>
      <c r="D284" s="17" t="s">
        <v>1247</v>
      </c>
      <c r="E284" s="17" t="s">
        <v>1248</v>
      </c>
      <c r="F284" s="17" t="s">
        <v>1249</v>
      </c>
    </row>
    <row r="285" customFormat="false" ht="14.25" hidden="false" customHeight="true" outlineLevel="0" collapsed="false">
      <c r="A285" s="17" t="e">
        <f aca="false">VLOOKUP(B285,Feuil1!A:B,2,FALSE())</f>
        <v>#N/A</v>
      </c>
      <c r="B285" s="17" t="s">
        <v>776</v>
      </c>
      <c r="C285" s="17" t="s">
        <v>1250</v>
      </c>
      <c r="D285" s="17" t="s">
        <v>1250</v>
      </c>
      <c r="E285" s="17" t="s">
        <v>1251</v>
      </c>
      <c r="F285" s="17" t="s">
        <v>1252</v>
      </c>
    </row>
    <row r="286" customFormat="false" ht="14.25" hidden="false" customHeight="true" outlineLevel="0" collapsed="false">
      <c r="A286" s="17" t="e">
        <f aca="false">VLOOKUP(B286,Feuil1!A:B,2,FALSE())</f>
        <v>#N/A</v>
      </c>
      <c r="B286" s="17" t="s">
        <v>1253</v>
      </c>
      <c r="C286" s="17" t="s">
        <v>1254</v>
      </c>
      <c r="D286" s="17" t="s">
        <v>1254</v>
      </c>
      <c r="E286" s="17" t="s">
        <v>910</v>
      </c>
      <c r="F286" s="17" t="s">
        <v>1255</v>
      </c>
    </row>
    <row r="287" customFormat="false" ht="14.25" hidden="false" customHeight="true" outlineLevel="0" collapsed="false">
      <c r="A287" s="17" t="e">
        <f aca="false">VLOOKUP(B287,Feuil1!A:B,2,FALSE())</f>
        <v>#N/A</v>
      </c>
      <c r="B287" s="17" t="s">
        <v>1154</v>
      </c>
      <c r="C287" s="17" t="s">
        <v>1256</v>
      </c>
      <c r="D287" s="17" t="s">
        <v>1256</v>
      </c>
      <c r="E287" s="17" t="s">
        <v>1257</v>
      </c>
      <c r="F287" s="17" t="s">
        <v>1258</v>
      </c>
    </row>
    <row r="288" customFormat="false" ht="14.25" hidden="false" customHeight="true" outlineLevel="0" collapsed="false">
      <c r="A288" s="17" t="e">
        <f aca="false">VLOOKUP(B288,Feuil1!A:B,2,FALSE())</f>
        <v>#N/A</v>
      </c>
      <c r="B288" s="17" t="s">
        <v>1259</v>
      </c>
      <c r="C288" s="17" t="s">
        <v>1260</v>
      </c>
      <c r="D288" s="17" t="s">
        <v>1260</v>
      </c>
      <c r="E288" s="17" t="s">
        <v>1261</v>
      </c>
      <c r="F288" s="17" t="s">
        <v>1262</v>
      </c>
    </row>
    <row r="289" customFormat="false" ht="14.25" hidden="false" customHeight="true" outlineLevel="0" collapsed="false">
      <c r="A289" s="17" t="e">
        <f aca="false">VLOOKUP(B289,Feuil1!A:B,2,FALSE())</f>
        <v>#N/A</v>
      </c>
      <c r="B289" s="17" t="s">
        <v>1236</v>
      </c>
      <c r="C289" s="17" t="s">
        <v>307</v>
      </c>
      <c r="D289" s="17" t="s">
        <v>307</v>
      </c>
      <c r="E289" s="17" t="s">
        <v>50</v>
      </c>
      <c r="F289" s="17" t="s">
        <v>1263</v>
      </c>
    </row>
    <row r="290" customFormat="false" ht="14.25" hidden="false" customHeight="true" outlineLevel="0" collapsed="false">
      <c r="A290" s="17" t="e">
        <f aca="false">VLOOKUP(B290,Feuil1!A:B,2,FALSE())</f>
        <v>#N/A</v>
      </c>
      <c r="B290" s="17" t="s">
        <v>1264</v>
      </c>
      <c r="C290" s="17" t="s">
        <v>403</v>
      </c>
      <c r="D290" s="17" t="s">
        <v>403</v>
      </c>
      <c r="E290" s="17" t="s">
        <v>403</v>
      </c>
      <c r="F290" s="17" t="s">
        <v>1265</v>
      </c>
    </row>
    <row r="291" customFormat="false" ht="14.25" hidden="false" customHeight="true" outlineLevel="0" collapsed="false">
      <c r="A291" s="17" t="str">
        <f aca="false">VLOOKUP(B291,Feuil1!A:B,2,FALSE())</f>
        <v>Type d'échantillon</v>
      </c>
      <c r="B291" s="17" t="s">
        <v>529</v>
      </c>
      <c r="C291" s="17" t="s">
        <v>181</v>
      </c>
      <c r="D291" s="17" t="s">
        <v>181</v>
      </c>
      <c r="E291" s="17" t="s">
        <v>1266</v>
      </c>
      <c r="F291" s="17" t="s">
        <v>180</v>
      </c>
    </row>
    <row r="292" customFormat="false" ht="14.25" hidden="false" customHeight="true" outlineLevel="0" collapsed="false">
      <c r="A292" s="17" t="e">
        <f aca="false">VLOOKUP(B292,Feuil1!A:B,2,FALSE())</f>
        <v>#N/A</v>
      </c>
      <c r="B292" s="17" t="s">
        <v>969</v>
      </c>
      <c r="C292" s="17" t="s">
        <v>1267</v>
      </c>
      <c r="D292" s="17" t="s">
        <v>1267</v>
      </c>
      <c r="E292" s="17" t="s">
        <v>1268</v>
      </c>
      <c r="F292" s="17" t="s">
        <v>1269</v>
      </c>
    </row>
    <row r="293" customFormat="false" ht="14.25" hidden="false" customHeight="true" outlineLevel="0" collapsed="false">
      <c r="A293" s="17" t="e">
        <f aca="false">VLOOKUP(B293,Feuil1!A:B,2,FALSE())</f>
        <v>#N/A</v>
      </c>
      <c r="B293" s="17" t="s">
        <v>776</v>
      </c>
      <c r="C293" s="17" t="s">
        <v>485</v>
      </c>
      <c r="D293" s="17" t="s">
        <v>485</v>
      </c>
      <c r="E293" s="17" t="s">
        <v>485</v>
      </c>
      <c r="F293" s="17" t="s">
        <v>1270</v>
      </c>
    </row>
    <row r="294" customFormat="false" ht="14.25" hidden="false" customHeight="true" outlineLevel="0" collapsed="false">
      <c r="A294" s="17" t="e">
        <f aca="false">VLOOKUP(B294,Feuil1!A:B,2,FALSE())</f>
        <v>#N/A</v>
      </c>
      <c r="B294" s="17" t="s">
        <v>776</v>
      </c>
      <c r="C294" s="17" t="s">
        <v>222</v>
      </c>
      <c r="D294" s="17" t="s">
        <v>222</v>
      </c>
      <c r="E294" s="17" t="s">
        <v>1271</v>
      </c>
      <c r="F294" s="17" t="s">
        <v>1272</v>
      </c>
    </row>
    <row r="295" customFormat="false" ht="14.25" hidden="false" customHeight="true" outlineLevel="0" collapsed="false">
      <c r="A295" s="17" t="str">
        <f aca="false">VLOOKUP(B295,Feuil1!A:B,2,FALSE())</f>
        <v>Devenir du patient</v>
      </c>
      <c r="B295" s="17" t="s">
        <v>503</v>
      </c>
      <c r="C295" s="17" t="s">
        <v>300</v>
      </c>
      <c r="D295" s="17" t="s">
        <v>300</v>
      </c>
      <c r="E295" s="17" t="s">
        <v>1273</v>
      </c>
      <c r="F295" s="17" t="s">
        <v>299</v>
      </c>
    </row>
    <row r="296" customFormat="false" ht="14.25" hidden="false" customHeight="true" outlineLevel="0" collapsed="false">
      <c r="A296" s="17" t="e">
        <f aca="false">VLOOKUP(B296,Feuil1!A:B,2,FALSE())</f>
        <v>#N/A</v>
      </c>
      <c r="B296" s="17" t="s">
        <v>1236</v>
      </c>
      <c r="C296" s="17" t="s">
        <v>1228</v>
      </c>
      <c r="D296" s="17" t="s">
        <v>1228</v>
      </c>
      <c r="E296" s="17" t="s">
        <v>814</v>
      </c>
      <c r="F296" s="17" t="s">
        <v>1274</v>
      </c>
    </row>
    <row r="297" customFormat="false" ht="14.25" hidden="false" customHeight="true" outlineLevel="0" collapsed="false">
      <c r="A297" s="17" t="e">
        <f aca="false">VLOOKUP(B297,Feuil1!A:B,2,FALSE())</f>
        <v>#N/A</v>
      </c>
      <c r="B297" s="17" t="s">
        <v>1044</v>
      </c>
      <c r="C297" s="17" t="s">
        <v>1275</v>
      </c>
      <c r="D297" s="17" t="s">
        <v>1275</v>
      </c>
      <c r="E297" s="17" t="s">
        <v>1275</v>
      </c>
      <c r="F297" s="17" t="s">
        <v>1276</v>
      </c>
    </row>
    <row r="298" customFormat="false" ht="14.25" hidden="false" customHeight="true" outlineLevel="0" collapsed="false">
      <c r="A298" s="17" t="e">
        <f aca="false">VLOOKUP(B298,Feuil1!A:B,2,FALSE())</f>
        <v>#N/A</v>
      </c>
      <c r="B298" s="17" t="s">
        <v>865</v>
      </c>
      <c r="C298" s="17" t="s">
        <v>1277</v>
      </c>
      <c r="D298" s="17" t="s">
        <v>1277</v>
      </c>
      <c r="E298" s="17" t="s">
        <v>1277</v>
      </c>
      <c r="F298" s="17" t="s">
        <v>1278</v>
      </c>
    </row>
    <row r="299" customFormat="false" ht="14.25" hidden="false" customHeight="true" outlineLevel="0" collapsed="false">
      <c r="A299" s="17" t="e">
        <f aca="false">VLOOKUP(B299,Feuil1!A:B,2,FALSE())</f>
        <v>#N/A</v>
      </c>
      <c r="B299" s="17" t="s">
        <v>1059</v>
      </c>
      <c r="C299" s="17" t="s">
        <v>1279</v>
      </c>
      <c r="D299" s="17" t="s">
        <v>1279</v>
      </c>
      <c r="E299" s="17" t="s">
        <v>1280</v>
      </c>
      <c r="F299" s="17" t="s">
        <v>1281</v>
      </c>
    </row>
    <row r="300" customFormat="false" ht="14.25" hidden="false" customHeight="true" outlineLevel="0" collapsed="false">
      <c r="A300" s="17" t="str">
        <f aca="false">VLOOKUP(B300,Feuil1!A:B,2,FALSE())</f>
        <v>District - Résultat de la coloration de Gram</v>
      </c>
      <c r="B300" s="17" t="s">
        <v>571</v>
      </c>
      <c r="C300" s="17" t="s">
        <v>348</v>
      </c>
      <c r="D300" s="17" t="s">
        <v>348</v>
      </c>
      <c r="E300" s="17" t="s">
        <v>348</v>
      </c>
      <c r="F300" s="17" t="s">
        <v>347</v>
      </c>
    </row>
    <row r="301" customFormat="false" ht="14.25" hidden="false" customHeight="true" outlineLevel="0" collapsed="false">
      <c r="A301" s="17" t="e">
        <f aca="false">VLOOKUP(B301,Feuil1!A:B,2,FALSE())</f>
        <v>#N/A</v>
      </c>
      <c r="B301" s="17" t="s">
        <v>830</v>
      </c>
      <c r="C301" s="17" t="s">
        <v>1282</v>
      </c>
      <c r="D301" s="17" t="s">
        <v>1282</v>
      </c>
      <c r="E301" s="17" t="s">
        <v>1282</v>
      </c>
      <c r="F301" s="17" t="s">
        <v>1283</v>
      </c>
    </row>
    <row r="302" customFormat="false" ht="14.25" hidden="false" customHeight="true" outlineLevel="0" collapsed="false">
      <c r="A302" s="17" t="e">
        <f aca="false">VLOOKUP(B302,Feuil1!A:B,2,FALSE())</f>
        <v>#N/A</v>
      </c>
      <c r="B302" s="17" t="s">
        <v>992</v>
      </c>
      <c r="C302" s="17" t="s">
        <v>1282</v>
      </c>
      <c r="D302" s="17" t="s">
        <v>1282</v>
      </c>
      <c r="E302" s="17" t="s">
        <v>1282</v>
      </c>
      <c r="F302" s="17" t="s">
        <v>1284</v>
      </c>
    </row>
    <row r="303" customFormat="false" ht="14.25" hidden="false" customHeight="true" outlineLevel="0" collapsed="false">
      <c r="A303" s="17" t="e">
        <f aca="false">VLOOKUP(B303,Feuil1!A:B,2,FALSE())</f>
        <v>#N/A</v>
      </c>
      <c r="B303" s="17" t="s">
        <v>1259</v>
      </c>
      <c r="C303" s="17" t="s">
        <v>1285</v>
      </c>
      <c r="D303" s="17" t="s">
        <v>1285</v>
      </c>
      <c r="E303" s="17" t="s">
        <v>1285</v>
      </c>
      <c r="F303" s="17" t="s">
        <v>1286</v>
      </c>
    </row>
    <row r="304" customFormat="false" ht="14.25" hidden="false" customHeight="true" outlineLevel="0" collapsed="false">
      <c r="A304" s="17" t="e">
        <f aca="false">VLOOKUP(B304,Feuil1!A:B,2,FALSE())</f>
        <v>#N/A</v>
      </c>
      <c r="B304" s="17" t="s">
        <v>1287</v>
      </c>
      <c r="C304" s="17" t="s">
        <v>1288</v>
      </c>
      <c r="D304" s="17" t="s">
        <v>1288</v>
      </c>
      <c r="E304" s="17" t="s">
        <v>1289</v>
      </c>
      <c r="F304" s="17" t="s">
        <v>1290</v>
      </c>
    </row>
    <row r="305" customFormat="false" ht="14.25" hidden="false" customHeight="true" outlineLevel="0" collapsed="false">
      <c r="A305" s="17" t="e">
        <f aca="false">VLOOKUP(B305,Feuil1!A:B,2,FALSE())</f>
        <v>#N/A</v>
      </c>
      <c r="B305" s="17" t="s">
        <v>920</v>
      </c>
      <c r="C305" s="17" t="s">
        <v>308</v>
      </c>
      <c r="D305" s="17" t="s">
        <v>308</v>
      </c>
      <c r="E305" s="17" t="s">
        <v>308</v>
      </c>
      <c r="F305" s="17" t="s">
        <v>1291</v>
      </c>
    </row>
    <row r="306" customFormat="false" ht="14.25" hidden="false" customHeight="true" outlineLevel="0" collapsed="false">
      <c r="A306" s="17" t="str">
        <f aca="false">VLOOKUP(B306,Feuil1!A:B,2,FALSE())</f>
        <v>District - sérotype S. pneumoniae</v>
      </c>
      <c r="B306" s="17" t="s">
        <v>545</v>
      </c>
      <c r="C306" s="17" t="n">
        <v>1</v>
      </c>
      <c r="D306" s="17" t="n">
        <v>1</v>
      </c>
      <c r="E306" s="17" t="n">
        <v>1</v>
      </c>
      <c r="F306" s="17" t="s">
        <v>64</v>
      </c>
    </row>
    <row r="307" customFormat="false" ht="14.25" hidden="false" customHeight="true" outlineLevel="0" collapsed="false">
      <c r="A307" s="17" t="str">
        <f aca="false">VLOOKUP(B307,Feuil1!A:B,2,FALSE())</f>
        <v>District - sérotype S. pneumoniae</v>
      </c>
      <c r="B307" s="17" t="s">
        <v>545</v>
      </c>
      <c r="C307" s="17" t="s">
        <v>130</v>
      </c>
      <c r="D307" s="17" t="s">
        <v>130</v>
      </c>
      <c r="E307" s="17" t="s">
        <v>130</v>
      </c>
      <c r="F307" s="17" t="s">
        <v>129</v>
      </c>
    </row>
    <row r="308" customFormat="false" ht="14.25" hidden="false" customHeight="true" outlineLevel="0" collapsed="false">
      <c r="A308" s="17" t="str">
        <f aca="false">VLOOKUP(B308,Feuil1!A:B,2,FALSE())</f>
        <v>Vaccin reçu : Hib</v>
      </c>
      <c r="B308" s="17" t="s">
        <v>665</v>
      </c>
      <c r="C308" s="17" t="s">
        <v>463</v>
      </c>
      <c r="D308" s="17" t="s">
        <v>463</v>
      </c>
      <c r="E308" s="17" t="s">
        <v>463</v>
      </c>
      <c r="F308" s="17" t="s">
        <v>462</v>
      </c>
    </row>
    <row r="309" customFormat="false" ht="14.25" hidden="false" customHeight="true" outlineLevel="0" collapsed="false">
      <c r="A309" s="17" t="e">
        <f aca="false">VLOOKUP(B309,Feuil1!A:B,2,FALSE())</f>
        <v>#N/A</v>
      </c>
      <c r="B309" s="17" t="s">
        <v>1016</v>
      </c>
      <c r="C309" s="17" t="s">
        <v>1292</v>
      </c>
      <c r="D309" s="17" t="s">
        <v>1292</v>
      </c>
      <c r="E309" s="17" t="s">
        <v>1292</v>
      </c>
      <c r="F309" s="17" t="s">
        <v>1293</v>
      </c>
    </row>
    <row r="310" customFormat="false" ht="14.25" hidden="false" customHeight="true" outlineLevel="0" collapsed="false">
      <c r="A310" s="17" t="e">
        <f aca="false">VLOOKUP(B310,Feuil1!A:B,2,FALSE())</f>
        <v>#N/A</v>
      </c>
      <c r="B310" s="17" t="s">
        <v>1264</v>
      </c>
      <c r="C310" s="17" t="s">
        <v>307</v>
      </c>
      <c r="D310" s="17" t="s">
        <v>307</v>
      </c>
      <c r="E310" s="17" t="s">
        <v>307</v>
      </c>
      <c r="F310" s="17" t="s">
        <v>1294</v>
      </c>
    </row>
    <row r="311" customFormat="false" ht="14.25" hidden="false" customHeight="true" outlineLevel="0" collapsed="false">
      <c r="A311" s="17" t="str">
        <f aca="false">VLOOKUP(B311,Feuil1!A:B,2,FALSE())</f>
        <v>District - Nom du laboratoire</v>
      </c>
      <c r="B311" s="17" t="s">
        <v>541</v>
      </c>
      <c r="C311" s="17" t="s">
        <v>200</v>
      </c>
      <c r="D311" s="17" t="s">
        <v>200</v>
      </c>
      <c r="E311" s="17" t="s">
        <v>200</v>
      </c>
      <c r="F311" s="17" t="s">
        <v>199</v>
      </c>
    </row>
    <row r="312" customFormat="false" ht="14.25" hidden="false" customHeight="true" outlineLevel="0" collapsed="false">
      <c r="A312" s="17" t="e">
        <f aca="false">VLOOKUP(B312,Feuil1!A:B,2,FALSE())</f>
        <v>#N/A</v>
      </c>
      <c r="B312" s="17" t="s">
        <v>865</v>
      </c>
      <c r="C312" s="17" t="s">
        <v>1295</v>
      </c>
      <c r="D312" s="17" t="s">
        <v>1295</v>
      </c>
      <c r="E312" s="17" t="s">
        <v>1295</v>
      </c>
      <c r="F312" s="17" t="s">
        <v>1296</v>
      </c>
    </row>
    <row r="313" customFormat="false" ht="14.25" hidden="false" customHeight="true" outlineLevel="0" collapsed="false">
      <c r="A313" s="17" t="str">
        <f aca="false">VLOOKUP(B313,Feuil1!A:B,2,FALSE())</f>
        <v>District - Résultat final du laboratoire</v>
      </c>
      <c r="B313" s="17" t="s">
        <v>505</v>
      </c>
      <c r="C313" s="17" t="s">
        <v>487</v>
      </c>
      <c r="D313" s="17" t="s">
        <v>487</v>
      </c>
      <c r="E313" s="17" t="s">
        <v>487</v>
      </c>
      <c r="F313" s="17" t="s">
        <v>486</v>
      </c>
    </row>
    <row r="314" customFormat="false" ht="14.25" hidden="false" customHeight="true" outlineLevel="0" collapsed="false">
      <c r="A314" s="17" t="e">
        <f aca="false">VLOOKUP(B314,Feuil1!A:B,2,FALSE())</f>
        <v>#N/A</v>
      </c>
      <c r="B314" s="17" t="s">
        <v>776</v>
      </c>
      <c r="C314" s="17" t="s">
        <v>1297</v>
      </c>
      <c r="D314" s="17" t="s">
        <v>1297</v>
      </c>
      <c r="E314" s="17" t="s">
        <v>1298</v>
      </c>
      <c r="F314" s="17" t="s">
        <v>1299</v>
      </c>
    </row>
    <row r="315" customFormat="false" ht="14.25" hidden="false" customHeight="true" outlineLevel="0" collapsed="false">
      <c r="A315" s="17" t="e">
        <f aca="false">VLOOKUP(B315,Feuil1!A:B,2,FALSE())</f>
        <v>#N/A</v>
      </c>
      <c r="B315" s="17" t="s">
        <v>1300</v>
      </c>
      <c r="C315" s="17" t="s">
        <v>1301</v>
      </c>
      <c r="D315" s="17" t="s">
        <v>1301</v>
      </c>
      <c r="E315" s="17" t="s">
        <v>1301</v>
      </c>
      <c r="F315" s="17" t="s">
        <v>1302</v>
      </c>
    </row>
    <row r="316" customFormat="false" ht="14.25" hidden="false" customHeight="true" outlineLevel="0" collapsed="false">
      <c r="A316" s="17" t="e">
        <f aca="false">VLOOKUP(B316,Feuil1!A:B,2,FALSE())</f>
        <v>#N/A</v>
      </c>
      <c r="B316" s="17" t="s">
        <v>802</v>
      </c>
      <c r="C316" s="17" t="s">
        <v>463</v>
      </c>
      <c r="D316" s="17" t="s">
        <v>463</v>
      </c>
      <c r="E316" s="17" t="s">
        <v>463</v>
      </c>
      <c r="F316" s="17" t="s">
        <v>1303</v>
      </c>
    </row>
    <row r="317" customFormat="false" ht="14.25" hidden="false" customHeight="true" outlineLevel="0" collapsed="false">
      <c r="A317" s="17" t="e">
        <f aca="false">VLOOKUP(B317,Feuil1!A:B,2,FALSE())</f>
        <v>#N/A</v>
      </c>
      <c r="B317" s="17" t="s">
        <v>862</v>
      </c>
      <c r="C317" s="17" t="s">
        <v>1304</v>
      </c>
      <c r="D317" s="17" t="s">
        <v>1304</v>
      </c>
      <c r="E317" s="17" t="s">
        <v>1304</v>
      </c>
      <c r="F317" s="17" t="s">
        <v>1305</v>
      </c>
    </row>
    <row r="318" customFormat="false" ht="14.25" hidden="false" customHeight="true" outlineLevel="0" collapsed="false">
      <c r="A318" s="17" t="e">
        <f aca="false">VLOOKUP(B318,Feuil1!A:B,2,FALSE())</f>
        <v>#N/A</v>
      </c>
      <c r="B318" s="17" t="s">
        <v>1177</v>
      </c>
      <c r="C318" s="17" t="s">
        <v>1306</v>
      </c>
      <c r="D318" s="17" t="s">
        <v>1306</v>
      </c>
      <c r="E318" s="17" t="s">
        <v>1307</v>
      </c>
      <c r="F318" s="17" t="s">
        <v>1308</v>
      </c>
    </row>
    <row r="319" customFormat="false" ht="14.25" hidden="false" customHeight="true" outlineLevel="0" collapsed="false">
      <c r="A319" s="17" t="e">
        <f aca="false">VLOOKUP(B319,Feuil1!A:B,2,FALSE())</f>
        <v>#N/A</v>
      </c>
      <c r="B319" s="17" t="s">
        <v>992</v>
      </c>
      <c r="C319" s="17" t="s">
        <v>860</v>
      </c>
      <c r="D319" s="17" t="s">
        <v>860</v>
      </c>
      <c r="E319" s="17" t="s">
        <v>860</v>
      </c>
      <c r="F319" s="17" t="s">
        <v>1309</v>
      </c>
    </row>
    <row r="320" customFormat="false" ht="14.25" hidden="false" customHeight="true" outlineLevel="0" collapsed="false">
      <c r="A320" s="17" t="str">
        <f aca="false">VLOOKUP(B320,Feuil1!A:B,2,FALSE())</f>
        <v>District - État de l'échantillon</v>
      </c>
      <c r="B320" s="17" t="s">
        <v>585</v>
      </c>
      <c r="C320" s="17" t="s">
        <v>168</v>
      </c>
      <c r="D320" s="17" t="s">
        <v>168</v>
      </c>
      <c r="E320" s="17" t="s">
        <v>168</v>
      </c>
      <c r="F320" s="17" t="s">
        <v>167</v>
      </c>
    </row>
    <row r="321" customFormat="false" ht="14.25" hidden="false" customHeight="true" outlineLevel="0" collapsed="false">
      <c r="A321" s="17" t="str">
        <f aca="false">VLOOKUP(B321,Feuil1!A:B,2,FALSE())</f>
        <v>District - Résultat du PCR</v>
      </c>
      <c r="B321" s="17" t="s">
        <v>651</v>
      </c>
      <c r="C321" s="17" t="s">
        <v>441</v>
      </c>
      <c r="D321" s="17" t="s">
        <v>441</v>
      </c>
      <c r="E321" s="17" t="s">
        <v>46</v>
      </c>
      <c r="F321" s="17" t="s">
        <v>443</v>
      </c>
    </row>
    <row r="322" customFormat="false" ht="14.25" hidden="false" customHeight="true" outlineLevel="0" collapsed="false">
      <c r="A322" s="17" t="str">
        <f aca="false">VLOOKUP(B322,Feuil1!A:B,2,FALSE())</f>
        <v>District - Nom du laboratoire</v>
      </c>
      <c r="B322" s="17" t="s">
        <v>541</v>
      </c>
      <c r="C322" s="17" t="s">
        <v>192</v>
      </c>
      <c r="D322" s="17" t="s">
        <v>192</v>
      </c>
      <c r="E322" s="17" t="s">
        <v>192</v>
      </c>
      <c r="F322" s="17" t="s">
        <v>191</v>
      </c>
    </row>
    <row r="323" customFormat="false" ht="14.25" hidden="false" customHeight="true" outlineLevel="0" collapsed="false">
      <c r="A323" s="17" t="str">
        <f aca="false">VLOOKUP(B323,Feuil1!A:B,2,FALSE())</f>
        <v>District - sérotype S. pneumoniae</v>
      </c>
      <c r="B323" s="17" t="s">
        <v>545</v>
      </c>
      <c r="C323" s="17" t="s">
        <v>105</v>
      </c>
      <c r="D323" s="17" t="s">
        <v>105</v>
      </c>
      <c r="E323" s="17" t="s">
        <v>105</v>
      </c>
      <c r="F323" s="17" t="s">
        <v>104</v>
      </c>
    </row>
    <row r="324" customFormat="false" ht="14.25" hidden="false" customHeight="true" outlineLevel="0" collapsed="false">
      <c r="A324" s="17" t="e">
        <f aca="false">VLOOKUP(B324,Feuil1!A:B,2,FALSE())</f>
        <v>#N/A</v>
      </c>
      <c r="B324" s="17" t="s">
        <v>1121</v>
      </c>
      <c r="C324" s="17" t="s">
        <v>463</v>
      </c>
      <c r="D324" s="17" t="s">
        <v>463</v>
      </c>
      <c r="E324" s="17" t="s">
        <v>463</v>
      </c>
      <c r="F324" s="17" t="s">
        <v>1310</v>
      </c>
    </row>
    <row r="325" customFormat="false" ht="14.25" hidden="false" customHeight="true" outlineLevel="0" collapsed="false">
      <c r="A325" s="17" t="e">
        <f aca="false">VLOOKUP(B325,Feuil1!A:B,2,FALSE())</f>
        <v>#N/A</v>
      </c>
      <c r="B325" s="17" t="s">
        <v>844</v>
      </c>
      <c r="C325" s="17" t="s">
        <v>1311</v>
      </c>
      <c r="D325" s="17" t="s">
        <v>1311</v>
      </c>
      <c r="E325" s="17" t="s">
        <v>1311</v>
      </c>
      <c r="F325" s="17" t="s">
        <v>1312</v>
      </c>
    </row>
    <row r="326" customFormat="false" ht="14.25" hidden="false" customHeight="true" outlineLevel="0" collapsed="false">
      <c r="A326" s="17" t="e">
        <f aca="false">VLOOKUP(B326,Feuil1!A:B,2,FALSE())</f>
        <v>#N/A</v>
      </c>
      <c r="B326" s="17" t="s">
        <v>776</v>
      </c>
      <c r="C326" s="17" t="s">
        <v>1313</v>
      </c>
      <c r="D326" s="17" t="s">
        <v>1313</v>
      </c>
      <c r="E326" s="17" t="s">
        <v>1314</v>
      </c>
      <c r="F326" s="17" t="s">
        <v>1315</v>
      </c>
    </row>
    <row r="327" customFormat="false" ht="14.25" hidden="false" customHeight="true" outlineLevel="0" collapsed="false">
      <c r="A327" s="17" t="e">
        <f aca="false">VLOOKUP(B327,Feuil1!A:B,2,FALSE())</f>
        <v>#N/A</v>
      </c>
      <c r="B327" s="17" t="s">
        <v>1316</v>
      </c>
      <c r="C327" s="17" t="s">
        <v>1317</v>
      </c>
      <c r="D327" s="17" t="s">
        <v>1317</v>
      </c>
      <c r="E327" s="17" t="s">
        <v>1317</v>
      </c>
      <c r="F327" s="17" t="s">
        <v>1318</v>
      </c>
    </row>
    <row r="328" customFormat="false" ht="14.25" hidden="false" customHeight="true" outlineLevel="0" collapsed="false">
      <c r="A328" s="17" t="e">
        <f aca="false">VLOOKUP(B328,Feuil1!A:B,2,FALSE())</f>
        <v>#N/A</v>
      </c>
      <c r="B328" s="17" t="s">
        <v>952</v>
      </c>
      <c r="C328" s="17" t="s">
        <v>1319</v>
      </c>
      <c r="D328" s="17" t="s">
        <v>1319</v>
      </c>
      <c r="E328" s="17" t="s">
        <v>1319</v>
      </c>
      <c r="F328" s="17" t="s">
        <v>1320</v>
      </c>
    </row>
    <row r="329" customFormat="false" ht="14.25" hidden="false" customHeight="true" outlineLevel="0" collapsed="false">
      <c r="A329" s="17" t="e">
        <f aca="false">VLOOKUP(B329,Feuil1!A:B,2,FALSE())</f>
        <v>#N/A</v>
      </c>
      <c r="B329" s="17" t="s">
        <v>796</v>
      </c>
      <c r="C329" s="17" t="s">
        <v>1321</v>
      </c>
      <c r="D329" s="17" t="s">
        <v>1321</v>
      </c>
      <c r="E329" s="17" t="s">
        <v>1322</v>
      </c>
      <c r="F329" s="17" t="s">
        <v>1323</v>
      </c>
    </row>
    <row r="330" customFormat="false" ht="14.25" hidden="false" customHeight="true" outlineLevel="0" collapsed="false">
      <c r="A330" s="17" t="e">
        <f aca="false">VLOOKUP(B330,Feuil1!A:B,2,FALSE())</f>
        <v>#N/A</v>
      </c>
      <c r="B330" s="17" t="s">
        <v>1259</v>
      </c>
      <c r="C330" s="17" t="s">
        <v>1324</v>
      </c>
      <c r="D330" s="17" t="s">
        <v>1324</v>
      </c>
      <c r="E330" s="17" t="s">
        <v>1325</v>
      </c>
      <c r="F330" s="17" t="s">
        <v>1326</v>
      </c>
    </row>
    <row r="331" customFormat="false" ht="14.25" hidden="false" customHeight="true" outlineLevel="0" collapsed="false">
      <c r="A331" s="17" t="e">
        <f aca="false">VLOOKUP(B331,Feuil1!A:B,2,FALSE())</f>
        <v>#N/A</v>
      </c>
      <c r="B331" s="17" t="s">
        <v>830</v>
      </c>
      <c r="C331" s="17" t="s">
        <v>820</v>
      </c>
      <c r="D331" s="17" t="s">
        <v>820</v>
      </c>
      <c r="E331" s="17" t="s">
        <v>820</v>
      </c>
      <c r="F331" s="17" t="s">
        <v>1327</v>
      </c>
    </row>
    <row r="332" customFormat="false" ht="14.25" hidden="false" customHeight="true" outlineLevel="0" collapsed="false">
      <c r="A332" s="17" t="e">
        <f aca="false">VLOOKUP(B332,Feuil1!A:B,2,FALSE())</f>
        <v>#N/A</v>
      </c>
      <c r="B332" s="17" t="s">
        <v>1328</v>
      </c>
      <c r="C332" s="17" t="n">
        <v>1</v>
      </c>
      <c r="D332" s="17" t="n">
        <v>1</v>
      </c>
      <c r="E332" s="17" t="n">
        <v>1</v>
      </c>
      <c r="F332" s="17" t="s">
        <v>1329</v>
      </c>
    </row>
    <row r="333" customFormat="false" ht="14.25" hidden="false" customHeight="true" outlineLevel="0" collapsed="false">
      <c r="A333" s="17" t="e">
        <f aca="false">VLOOKUP(B333,Feuil1!A:B,2,FALSE())</f>
        <v>#N/A</v>
      </c>
      <c r="B333" s="17" t="s">
        <v>841</v>
      </c>
      <c r="C333" s="17" t="s">
        <v>1330</v>
      </c>
      <c r="D333" s="17" t="s">
        <v>1330</v>
      </c>
      <c r="E333" s="17" t="s">
        <v>1330</v>
      </c>
      <c r="F333" s="17" t="s">
        <v>1331</v>
      </c>
    </row>
    <row r="334" customFormat="false" ht="14.25" hidden="false" customHeight="true" outlineLevel="0" collapsed="false">
      <c r="A334" s="17" t="e">
        <f aca="false">VLOOKUP(B334,Feuil1!A:B,2,FALSE())</f>
        <v>#N/A</v>
      </c>
      <c r="B334" s="17" t="s">
        <v>1300</v>
      </c>
      <c r="C334" s="17" t="s">
        <v>1332</v>
      </c>
      <c r="D334" s="17" t="s">
        <v>1332</v>
      </c>
      <c r="E334" s="17" t="s">
        <v>1332</v>
      </c>
      <c r="F334" s="17" t="s">
        <v>1333</v>
      </c>
    </row>
    <row r="335" customFormat="false" ht="14.25" hidden="false" customHeight="true" outlineLevel="0" collapsed="false">
      <c r="A335" s="17" t="e">
        <f aca="false">VLOOKUP(B335,Feuil1!A:B,2,FALSE())</f>
        <v>#N/A</v>
      </c>
      <c r="B335" s="17" t="s">
        <v>938</v>
      </c>
      <c r="C335" s="17" t="s">
        <v>1334</v>
      </c>
      <c r="D335" s="17" t="s">
        <v>1334</v>
      </c>
      <c r="E335" s="17" t="s">
        <v>1334</v>
      </c>
      <c r="F335" s="17" t="s">
        <v>1335</v>
      </c>
    </row>
    <row r="336" customFormat="false" ht="14.25" hidden="false" customHeight="true" outlineLevel="0" collapsed="false">
      <c r="A336" s="17" t="str">
        <f aca="false">VLOOKUP(B336,Feuil1!A:B,2,FALSE())</f>
        <v>District - Résultat final du laboratoire</v>
      </c>
      <c r="B336" s="17" t="s">
        <v>505</v>
      </c>
      <c r="C336" s="17" t="s">
        <v>227</v>
      </c>
      <c r="D336" s="17" t="s">
        <v>227</v>
      </c>
      <c r="E336" s="17" t="s">
        <v>1336</v>
      </c>
      <c r="F336" s="17" t="s">
        <v>226</v>
      </c>
    </row>
    <row r="337" customFormat="false" ht="14.25" hidden="false" customHeight="true" outlineLevel="0" collapsed="false">
      <c r="A337" s="17" t="e">
        <f aca="false">VLOOKUP(B337,Feuil1!A:B,2,FALSE())</f>
        <v>#N/A</v>
      </c>
      <c r="B337" s="17" t="s">
        <v>885</v>
      </c>
      <c r="C337" s="17" t="s">
        <v>375</v>
      </c>
      <c r="D337" s="17" t="s">
        <v>375</v>
      </c>
      <c r="E337" s="17" t="s">
        <v>375</v>
      </c>
      <c r="F337" s="17" t="s">
        <v>1337</v>
      </c>
    </row>
    <row r="338" customFormat="false" ht="14.25" hidden="false" customHeight="true" outlineLevel="0" collapsed="false">
      <c r="A338" s="17" t="e">
        <f aca="false">VLOOKUP(B338,Feuil1!A:B,2,FALSE())</f>
        <v>#N/A</v>
      </c>
      <c r="B338" s="17" t="s">
        <v>915</v>
      </c>
      <c r="C338" s="17" t="s">
        <v>307</v>
      </c>
      <c r="D338" s="17" t="s">
        <v>307</v>
      </c>
      <c r="E338" s="17" t="s">
        <v>307</v>
      </c>
      <c r="F338" s="17" t="s">
        <v>1338</v>
      </c>
    </row>
    <row r="339" customFormat="false" ht="14.25" hidden="false" customHeight="true" outlineLevel="0" collapsed="false">
      <c r="A339" s="17" t="e">
        <f aca="false">VLOOKUP(B339,Feuil1!A:B,2,FALSE())</f>
        <v>#N/A</v>
      </c>
      <c r="B339" s="17" t="s">
        <v>1339</v>
      </c>
      <c r="C339" s="17" t="s">
        <v>1340</v>
      </c>
      <c r="D339" s="17" t="s">
        <v>1340</v>
      </c>
      <c r="E339" s="17" t="s">
        <v>1341</v>
      </c>
      <c r="F339" s="17" t="s">
        <v>1342</v>
      </c>
    </row>
    <row r="340" customFormat="false" ht="14.25" hidden="false" customHeight="true" outlineLevel="0" collapsed="false">
      <c r="A340" s="17" t="e">
        <f aca="false">VLOOKUP(B340,Feuil1!A:B,2,FALSE())</f>
        <v>#N/A</v>
      </c>
      <c r="B340" s="17" t="s">
        <v>1044</v>
      </c>
      <c r="C340" s="17" t="s">
        <v>1343</v>
      </c>
      <c r="D340" s="17" t="s">
        <v>1343</v>
      </c>
      <c r="E340" s="17" t="s">
        <v>1343</v>
      </c>
      <c r="F340" s="17" t="s">
        <v>1344</v>
      </c>
    </row>
    <row r="341" customFormat="false" ht="14.25" hidden="false" customHeight="true" outlineLevel="0" collapsed="false">
      <c r="A341" s="17" t="str">
        <f aca="false">VLOOKUP(B341,Feuil1!A:B,2,FALSE())</f>
        <v>District - Résultat du PCR</v>
      </c>
      <c r="B341" s="17" t="s">
        <v>651</v>
      </c>
      <c r="C341" s="17" t="s">
        <v>318</v>
      </c>
      <c r="D341" s="17" t="s">
        <v>318</v>
      </c>
      <c r="E341" s="17" t="s">
        <v>318</v>
      </c>
      <c r="F341" s="17" t="s">
        <v>320</v>
      </c>
    </row>
    <row r="342" customFormat="false" ht="14.25" hidden="false" customHeight="true" outlineLevel="0" collapsed="false">
      <c r="A342" s="17" t="e">
        <f aca="false">VLOOKUP(B342,Feuil1!A:B,2,FALSE())</f>
        <v>#N/A</v>
      </c>
      <c r="B342" s="17" t="s">
        <v>952</v>
      </c>
      <c r="C342" s="17" t="s">
        <v>1345</v>
      </c>
      <c r="D342" s="17" t="s">
        <v>1345</v>
      </c>
      <c r="E342" s="17" t="s">
        <v>1345</v>
      </c>
      <c r="F342" s="17" t="s">
        <v>1346</v>
      </c>
    </row>
    <row r="343" customFormat="false" ht="14.25" hidden="false" customHeight="true" outlineLevel="0" collapsed="false">
      <c r="A343" s="17" t="str">
        <f aca="false">VLOOKUP(B343,Feuil1!A:B,2,FALSE())</f>
        <v>District - Résultat du PCR</v>
      </c>
      <c r="B343" s="17" t="s">
        <v>651</v>
      </c>
      <c r="C343" s="17" t="s">
        <v>424</v>
      </c>
      <c r="D343" s="17" t="s">
        <v>424</v>
      </c>
      <c r="E343" s="17" t="s">
        <v>929</v>
      </c>
      <c r="F343" s="17" t="s">
        <v>425</v>
      </c>
    </row>
    <row r="344" customFormat="false" ht="14.25" hidden="false" customHeight="true" outlineLevel="0" collapsed="false">
      <c r="A344" s="17" t="e">
        <f aca="false">VLOOKUP(B344,Feuil1!A:B,2,FALSE())</f>
        <v>#N/A</v>
      </c>
      <c r="B344" s="17" t="s">
        <v>892</v>
      </c>
      <c r="C344" s="17" t="s">
        <v>1347</v>
      </c>
      <c r="D344" s="17" t="s">
        <v>1347</v>
      </c>
      <c r="E344" s="17" t="s">
        <v>1347</v>
      </c>
      <c r="F344" s="17" t="s">
        <v>1348</v>
      </c>
    </row>
    <row r="345" customFormat="false" ht="14.25" hidden="false" customHeight="true" outlineLevel="0" collapsed="false">
      <c r="A345" s="17" t="str">
        <f aca="false">VLOOKUP(B345,Feuil1!A:B,2,FALSE())</f>
        <v>District - Résultat final du laboratoire</v>
      </c>
      <c r="B345" s="17" t="s">
        <v>505</v>
      </c>
      <c r="C345" s="17" t="s">
        <v>338</v>
      </c>
      <c r="D345" s="17" t="s">
        <v>338</v>
      </c>
      <c r="E345" s="17" t="s">
        <v>338</v>
      </c>
      <c r="F345" s="17" t="s">
        <v>337</v>
      </c>
    </row>
    <row r="346" customFormat="false" ht="14.25" hidden="false" customHeight="true" outlineLevel="0" collapsed="false">
      <c r="A346" s="17" t="e">
        <f aca="false">VLOOKUP(B346,Feuil1!A:B,2,FALSE())</f>
        <v>#N/A</v>
      </c>
      <c r="B346" s="17" t="s">
        <v>830</v>
      </c>
      <c r="C346" s="17" t="s">
        <v>1349</v>
      </c>
      <c r="D346" s="17" t="s">
        <v>1349</v>
      </c>
      <c r="E346" s="17" t="s">
        <v>1349</v>
      </c>
      <c r="F346" s="17" t="s">
        <v>1350</v>
      </c>
    </row>
    <row r="347" customFormat="false" ht="14.25" hidden="false" customHeight="true" outlineLevel="0" collapsed="false">
      <c r="A347" s="17" t="e">
        <f aca="false">VLOOKUP(B347,Feuil1!A:B,2,FALSE())</f>
        <v>#N/A</v>
      </c>
      <c r="B347" s="17" t="s">
        <v>1121</v>
      </c>
      <c r="C347" s="17" t="s">
        <v>1351</v>
      </c>
      <c r="D347" s="17" t="s">
        <v>1351</v>
      </c>
      <c r="E347" s="17" t="s">
        <v>1352</v>
      </c>
      <c r="F347" s="17" t="s">
        <v>1353</v>
      </c>
    </row>
    <row r="348" customFormat="false" ht="14.25" hidden="false" customHeight="true" outlineLevel="0" collapsed="false">
      <c r="A348" s="17" t="e">
        <f aca="false">VLOOKUP(B348,Feuil1!A:B,2,FALSE())</f>
        <v>#N/A</v>
      </c>
      <c r="B348" s="17" t="s">
        <v>830</v>
      </c>
      <c r="C348" s="17" t="s">
        <v>925</v>
      </c>
      <c r="D348" s="17" t="s">
        <v>925</v>
      </c>
      <c r="E348" s="17" t="s">
        <v>925</v>
      </c>
      <c r="F348" s="17" t="s">
        <v>1354</v>
      </c>
    </row>
    <row r="349" customFormat="false" ht="14.25" hidden="false" customHeight="true" outlineLevel="0" collapsed="false">
      <c r="A349" s="17" t="e">
        <f aca="false">VLOOKUP(B349,Feuil1!A:B,2,FALSE())</f>
        <v>#N/A</v>
      </c>
      <c r="B349" s="17" t="s">
        <v>776</v>
      </c>
      <c r="C349" s="17" t="s">
        <v>1355</v>
      </c>
      <c r="D349" s="17" t="s">
        <v>1355</v>
      </c>
      <c r="E349" s="17" t="s">
        <v>1356</v>
      </c>
      <c r="F349" s="17" t="s">
        <v>1357</v>
      </c>
    </row>
    <row r="350" customFormat="false" ht="14.25" hidden="false" customHeight="true" outlineLevel="0" collapsed="false">
      <c r="A350" s="17" t="e">
        <f aca="false">VLOOKUP(B350,Feuil1!A:B,2,FALSE())</f>
        <v>#N/A</v>
      </c>
      <c r="B350" s="17" t="s">
        <v>1358</v>
      </c>
      <c r="C350" s="17" t="s">
        <v>1359</v>
      </c>
      <c r="D350" s="17" t="s">
        <v>1359</v>
      </c>
      <c r="E350" s="17" t="s">
        <v>1360</v>
      </c>
      <c r="F350" s="17" t="s">
        <v>1361</v>
      </c>
    </row>
    <row r="351" customFormat="false" ht="14.25" hidden="false" customHeight="true" outlineLevel="0" collapsed="false">
      <c r="A351" s="17" t="e">
        <f aca="false">VLOOKUP(B351,Feuil1!A:B,2,FALSE())</f>
        <v>#N/A</v>
      </c>
      <c r="B351" s="17" t="s">
        <v>885</v>
      </c>
      <c r="C351" s="17" t="s">
        <v>1362</v>
      </c>
      <c r="D351" s="17" t="s">
        <v>1362</v>
      </c>
      <c r="E351" s="17" t="s">
        <v>1362</v>
      </c>
      <c r="F351" s="17" t="s">
        <v>1363</v>
      </c>
    </row>
    <row r="352" customFormat="false" ht="14.25" hidden="false" customHeight="true" outlineLevel="0" collapsed="false">
      <c r="A352" s="17" t="e">
        <f aca="false">VLOOKUP(B352,Feuil1!A:B,2,FALSE())</f>
        <v>#N/A</v>
      </c>
      <c r="B352" s="17" t="s">
        <v>776</v>
      </c>
      <c r="C352" s="17" t="s">
        <v>242</v>
      </c>
      <c r="D352" s="17" t="s">
        <v>242</v>
      </c>
      <c r="E352" s="17" t="s">
        <v>1364</v>
      </c>
      <c r="F352" s="17" t="s">
        <v>1365</v>
      </c>
    </row>
    <row r="353" customFormat="false" ht="14.25" hidden="false" customHeight="true" outlineLevel="0" collapsed="false">
      <c r="A353" s="17" t="e">
        <f aca="false">VLOOKUP(B353,Feuil1!A:B,2,FALSE())</f>
        <v>#N/A</v>
      </c>
      <c r="B353" s="17" t="s">
        <v>776</v>
      </c>
      <c r="C353" s="17" t="s">
        <v>487</v>
      </c>
      <c r="D353" s="17" t="s">
        <v>487</v>
      </c>
      <c r="E353" s="17" t="s">
        <v>487</v>
      </c>
      <c r="F353" s="17" t="s">
        <v>1366</v>
      </c>
    </row>
    <row r="354" customFormat="false" ht="14.25" hidden="false" customHeight="true" outlineLevel="0" collapsed="false">
      <c r="A354" s="17" t="str">
        <f aca="false">VLOOKUP(B354,Feuil1!A:B,2,FALSE())</f>
        <v>District - sérotype S. pneumoniae</v>
      </c>
      <c r="B354" s="17" t="s">
        <v>545</v>
      </c>
      <c r="C354" s="17" t="s">
        <v>121</v>
      </c>
      <c r="D354" s="17" t="s">
        <v>121</v>
      </c>
      <c r="E354" s="17" t="s">
        <v>121</v>
      </c>
      <c r="F354" s="17" t="s">
        <v>120</v>
      </c>
    </row>
    <row r="355" customFormat="false" ht="14.25" hidden="false" customHeight="true" outlineLevel="0" collapsed="false">
      <c r="A355" s="17" t="e">
        <f aca="false">VLOOKUP(B355,Feuil1!A:B,2,FALSE())</f>
        <v>#N/A</v>
      </c>
      <c r="B355" s="17" t="s">
        <v>1030</v>
      </c>
      <c r="C355" s="17" t="s">
        <v>1367</v>
      </c>
      <c r="D355" s="17" t="s">
        <v>1367</v>
      </c>
      <c r="E355" s="17" t="s">
        <v>1367</v>
      </c>
      <c r="F355" s="17" t="s">
        <v>1368</v>
      </c>
    </row>
    <row r="356" customFormat="false" ht="14.25" hidden="false" customHeight="true" outlineLevel="0" collapsed="false">
      <c r="A356" s="17" t="e">
        <f aca="false">VLOOKUP(B356,Feuil1!A:B,2,FALSE())</f>
        <v>#N/A</v>
      </c>
      <c r="B356" s="17" t="s">
        <v>877</v>
      </c>
      <c r="C356" s="17" t="s">
        <v>1369</v>
      </c>
      <c r="D356" s="17" t="s">
        <v>1369</v>
      </c>
      <c r="E356" s="17" t="s">
        <v>1370</v>
      </c>
      <c r="F356" s="17" t="s">
        <v>1371</v>
      </c>
    </row>
    <row r="357" customFormat="false" ht="14.25" hidden="false" customHeight="true" outlineLevel="0" collapsed="false">
      <c r="A357" s="17" t="e">
        <f aca="false">VLOOKUP(B357,Feuil1!A:B,2,FALSE())</f>
        <v>#N/A</v>
      </c>
      <c r="B357" s="17" t="s">
        <v>952</v>
      </c>
      <c r="C357" s="17" t="s">
        <v>1372</v>
      </c>
      <c r="D357" s="17" t="s">
        <v>1372</v>
      </c>
      <c r="E357" s="17" t="s">
        <v>1372</v>
      </c>
      <c r="F357" s="17" t="s">
        <v>1373</v>
      </c>
    </row>
    <row r="358" customFormat="false" ht="14.25" hidden="false" customHeight="true" outlineLevel="0" collapsed="false">
      <c r="A358" s="17" t="str">
        <f aca="false">VLOOKUP(B358,Feuil1!A:B,2,FALSE())</f>
        <v>Type d'échantillon</v>
      </c>
      <c r="B358" s="17" t="s">
        <v>529</v>
      </c>
      <c r="C358" s="17" t="s">
        <v>255</v>
      </c>
      <c r="D358" s="17" t="s">
        <v>255</v>
      </c>
      <c r="E358" s="17" t="s">
        <v>1374</v>
      </c>
      <c r="F358" s="17" t="s">
        <v>254</v>
      </c>
    </row>
    <row r="359" customFormat="false" ht="14.25" hidden="false" customHeight="true" outlineLevel="0" collapsed="false">
      <c r="A359" s="17" t="str">
        <f aca="false">VLOOKUP(B359,Feuil1!A:B,2,FALSE())</f>
        <v>District - Résultat final du laboratoire</v>
      </c>
      <c r="B359" s="17" t="s">
        <v>505</v>
      </c>
      <c r="C359" s="17" t="s">
        <v>314</v>
      </c>
      <c r="D359" s="17" t="s">
        <v>314</v>
      </c>
      <c r="E359" s="17" t="s">
        <v>312</v>
      </c>
      <c r="F359" s="17" t="s">
        <v>316</v>
      </c>
    </row>
    <row r="360" customFormat="false" ht="14.25" hidden="false" customHeight="true" outlineLevel="0" collapsed="false">
      <c r="A360" s="17" t="e">
        <f aca="false">VLOOKUP(B360,Feuil1!A:B,2,FALSE())</f>
        <v>#N/A</v>
      </c>
      <c r="B360" s="17" t="s">
        <v>952</v>
      </c>
      <c r="C360" s="17" t="s">
        <v>1375</v>
      </c>
      <c r="D360" s="17" t="s">
        <v>1375</v>
      </c>
      <c r="E360" s="17" t="s">
        <v>1376</v>
      </c>
      <c r="F360" s="17" t="s">
        <v>1377</v>
      </c>
    </row>
    <row r="361" customFormat="false" ht="14.25" hidden="false" customHeight="true" outlineLevel="0" collapsed="false">
      <c r="A361" s="17" t="e">
        <f aca="false">VLOOKUP(B361,Feuil1!A:B,2,FALSE())</f>
        <v>#N/A</v>
      </c>
      <c r="B361" s="17" t="s">
        <v>885</v>
      </c>
      <c r="C361" s="17" t="s">
        <v>1378</v>
      </c>
      <c r="D361" s="17" t="s">
        <v>1378</v>
      </c>
      <c r="E361" s="17" t="s">
        <v>1378</v>
      </c>
      <c r="F361" s="17" t="s">
        <v>1379</v>
      </c>
    </row>
    <row r="362" customFormat="false" ht="14.25" hidden="false" customHeight="true" outlineLevel="0" collapsed="false">
      <c r="A362" s="17" t="str">
        <f aca="false">VLOOKUP(B362,Feuil1!A:B,2,FALSE())</f>
        <v>Vaccin reçu : Hib</v>
      </c>
      <c r="B362" s="17" t="s">
        <v>665</v>
      </c>
      <c r="C362" s="17" t="s">
        <v>482</v>
      </c>
      <c r="D362" s="17" t="s">
        <v>482</v>
      </c>
      <c r="E362" s="17" t="s">
        <v>482</v>
      </c>
      <c r="F362" s="17" t="s">
        <v>481</v>
      </c>
    </row>
    <row r="363" customFormat="false" ht="14.25" hidden="false" customHeight="true" outlineLevel="0" collapsed="false">
      <c r="A363" s="17" t="e">
        <f aca="false">VLOOKUP(B363,Feuil1!A:B,2,FALSE())</f>
        <v>#N/A</v>
      </c>
      <c r="B363" s="17" t="s">
        <v>819</v>
      </c>
      <c r="C363" s="17" t="s">
        <v>1380</v>
      </c>
      <c r="D363" s="17" t="s">
        <v>1380</v>
      </c>
      <c r="E363" s="17" t="s">
        <v>1380</v>
      </c>
      <c r="F363" s="17" t="s">
        <v>1381</v>
      </c>
    </row>
    <row r="364" customFormat="false" ht="14.25" hidden="false" customHeight="true" outlineLevel="0" collapsed="false">
      <c r="A364" s="17" t="e">
        <f aca="false">VLOOKUP(B364,Feuil1!A:B,2,FALSE())</f>
        <v>#N/A</v>
      </c>
      <c r="B364" s="17" t="s">
        <v>1316</v>
      </c>
      <c r="C364" s="17" t="s">
        <v>463</v>
      </c>
      <c r="D364" s="17" t="s">
        <v>463</v>
      </c>
      <c r="E364" s="17" t="s">
        <v>463</v>
      </c>
      <c r="F364" s="17" t="s">
        <v>1382</v>
      </c>
    </row>
    <row r="365" customFormat="false" ht="14.25" hidden="false" customHeight="true" outlineLevel="0" collapsed="false">
      <c r="A365" s="17" t="e">
        <f aca="false">VLOOKUP(B365,Feuil1!A:B,2,FALSE())</f>
        <v>#N/A</v>
      </c>
      <c r="B365" s="17" t="s">
        <v>865</v>
      </c>
      <c r="C365" s="17" t="s">
        <v>1383</v>
      </c>
      <c r="D365" s="17" t="s">
        <v>1383</v>
      </c>
      <c r="E365" s="17" t="s">
        <v>1383</v>
      </c>
      <c r="F365" s="17" t="s">
        <v>1384</v>
      </c>
    </row>
    <row r="366" customFormat="false" ht="14.25" hidden="false" customHeight="true" outlineLevel="0" collapsed="false">
      <c r="A366" s="17" t="e">
        <f aca="false">VLOOKUP(B366,Feuil1!A:B,2,FALSE())</f>
        <v>#N/A</v>
      </c>
      <c r="B366" s="17" t="s">
        <v>825</v>
      </c>
      <c r="C366" s="17" t="s">
        <v>1385</v>
      </c>
      <c r="D366" s="17" t="s">
        <v>1385</v>
      </c>
      <c r="E366" s="17" t="s">
        <v>1385</v>
      </c>
      <c r="F366" s="17" t="s">
        <v>1386</v>
      </c>
    </row>
    <row r="367" customFormat="false" ht="14.25" hidden="false" customHeight="true" outlineLevel="0" collapsed="false">
      <c r="A367" s="17" t="e">
        <f aca="false">VLOOKUP(B367,Feuil1!A:B,2,FALSE())</f>
        <v>#N/A</v>
      </c>
      <c r="B367" s="17" t="s">
        <v>1287</v>
      </c>
      <c r="C367" s="17" t="s">
        <v>1387</v>
      </c>
      <c r="D367" s="17" t="s">
        <v>1387</v>
      </c>
      <c r="E367" s="17" t="s">
        <v>46</v>
      </c>
      <c r="F367" s="17" t="s">
        <v>1388</v>
      </c>
    </row>
    <row r="368" customFormat="false" ht="14.25" hidden="false" customHeight="true" outlineLevel="0" collapsed="false">
      <c r="A368" s="17" t="e">
        <f aca="false">VLOOKUP(B368,Feuil1!A:B,2,FALSE())</f>
        <v>#N/A</v>
      </c>
      <c r="B368" s="17" t="s">
        <v>776</v>
      </c>
      <c r="C368" s="17" t="s">
        <v>245</v>
      </c>
      <c r="D368" s="17" t="s">
        <v>245</v>
      </c>
      <c r="E368" s="17" t="s">
        <v>1389</v>
      </c>
      <c r="F368" s="17" t="s">
        <v>1390</v>
      </c>
    </row>
    <row r="369" customFormat="false" ht="14.25" hidden="false" customHeight="true" outlineLevel="0" collapsed="false">
      <c r="A369" s="17" t="str">
        <f aca="false">VLOOKUP(B369,Feuil1!A:B,2,FALSE())</f>
        <v>District - Résultat de la coloration de Gram</v>
      </c>
      <c r="B369" s="17" t="s">
        <v>571</v>
      </c>
      <c r="C369" s="17" t="s">
        <v>262</v>
      </c>
      <c r="D369" s="17" t="s">
        <v>262</v>
      </c>
      <c r="E369" s="17" t="s">
        <v>262</v>
      </c>
      <c r="F369" s="17" t="s">
        <v>261</v>
      </c>
    </row>
    <row r="370" customFormat="false" ht="14.25" hidden="false" customHeight="true" outlineLevel="0" collapsed="false">
      <c r="A370" s="17" t="str">
        <f aca="false">VLOOKUP(B370,Feuil1!A:B,2,FALSE())</f>
        <v>Altération de la conscience</v>
      </c>
      <c r="B370" s="17" t="s">
        <v>549</v>
      </c>
      <c r="C370" s="17" t="s">
        <v>285</v>
      </c>
      <c r="D370" s="17" t="s">
        <v>285</v>
      </c>
      <c r="E370" s="17" t="s">
        <v>463</v>
      </c>
      <c r="F370" s="17" t="s">
        <v>284</v>
      </c>
    </row>
    <row r="371" customFormat="false" ht="14.25" hidden="false" customHeight="true" outlineLevel="0" collapsed="false">
      <c r="A371" s="17" t="e">
        <f aca="false">VLOOKUP(B371,Feuil1!A:B,2,FALSE())</f>
        <v>#N/A</v>
      </c>
      <c r="B371" s="17" t="s">
        <v>1316</v>
      </c>
      <c r="C371" s="17" t="s">
        <v>1391</v>
      </c>
      <c r="D371" s="17" t="s">
        <v>1391</v>
      </c>
      <c r="E371" s="17" t="s">
        <v>1392</v>
      </c>
      <c r="F371" s="17" t="s">
        <v>1393</v>
      </c>
    </row>
    <row r="372" customFormat="false" ht="14.25" hidden="false" customHeight="true" outlineLevel="0" collapsed="false">
      <c r="A372" s="17" t="e">
        <f aca="false">VLOOKUP(B372,Feuil1!A:B,2,FALSE())</f>
        <v>#N/A</v>
      </c>
      <c r="B372" s="17" t="s">
        <v>1339</v>
      </c>
      <c r="C372" s="17" t="s">
        <v>1394</v>
      </c>
      <c r="D372" s="17" t="s">
        <v>1394</v>
      </c>
      <c r="E372" s="17" t="s">
        <v>1395</v>
      </c>
      <c r="F372" s="17" t="s">
        <v>1396</v>
      </c>
    </row>
    <row r="373" customFormat="false" ht="14.25" hidden="false" customHeight="true" outlineLevel="0" collapsed="false">
      <c r="A373" s="17" t="str">
        <f aca="false">VLOOKUP(B373,Feuil1!A:B,2,FALSE())</f>
        <v>District - Résultat final du laboratoire</v>
      </c>
      <c r="B373" s="17" t="s">
        <v>505</v>
      </c>
      <c r="C373" s="17" t="s">
        <v>414</v>
      </c>
      <c r="D373" s="17" t="s">
        <v>414</v>
      </c>
      <c r="E373" s="17" t="s">
        <v>414</v>
      </c>
      <c r="F373" s="17" t="s">
        <v>413</v>
      </c>
    </row>
    <row r="374" customFormat="false" ht="14.25" hidden="false" customHeight="true" outlineLevel="0" collapsed="false">
      <c r="A374" s="17" t="e">
        <f aca="false">VLOOKUP(B374,Feuil1!A:B,2,FALSE())</f>
        <v>#N/A</v>
      </c>
      <c r="B374" s="17" t="s">
        <v>1101</v>
      </c>
      <c r="C374" s="17" t="s">
        <v>375</v>
      </c>
      <c r="D374" s="17" t="s">
        <v>375</v>
      </c>
      <c r="E374" s="17" t="s">
        <v>375</v>
      </c>
      <c r="F374" s="17" t="s">
        <v>1397</v>
      </c>
    </row>
    <row r="375" customFormat="false" ht="14.25" hidden="false" customHeight="true" outlineLevel="0" collapsed="false">
      <c r="A375" s="17" t="str">
        <f aca="false">VLOOKUP(B375,Feuil1!A:B,2,FALSE())</f>
        <v>Type d'échantillon</v>
      </c>
      <c r="B375" s="17" t="s">
        <v>529</v>
      </c>
      <c r="C375" s="17" t="s">
        <v>234</v>
      </c>
      <c r="D375" s="17" t="s">
        <v>234</v>
      </c>
      <c r="E375" s="17" t="s">
        <v>1398</v>
      </c>
      <c r="F375" s="17" t="s">
        <v>233</v>
      </c>
    </row>
    <row r="376" customFormat="false" ht="14.25" hidden="false" customHeight="true" outlineLevel="0" collapsed="false">
      <c r="A376" s="17" t="e">
        <f aca="false">VLOOKUP(B376,Feuil1!A:B,2,FALSE())</f>
        <v>#N/A</v>
      </c>
      <c r="B376" s="17" t="s">
        <v>935</v>
      </c>
      <c r="C376" s="17" t="s">
        <v>1399</v>
      </c>
      <c r="D376" s="17" t="s">
        <v>1399</v>
      </c>
      <c r="E376" s="17" t="s">
        <v>1399</v>
      </c>
      <c r="F376" s="17" t="s">
        <v>1400</v>
      </c>
    </row>
    <row r="377" customFormat="false" ht="14.25" hidden="false" customHeight="true" outlineLevel="0" collapsed="false">
      <c r="A377" s="17" t="str">
        <f aca="false">VLOOKUP(B377,Feuil1!A:B,2,FALSE())</f>
        <v>District - Résultat final du laboratoire</v>
      </c>
      <c r="B377" s="17" t="s">
        <v>505</v>
      </c>
      <c r="C377" s="17" t="s">
        <v>269</v>
      </c>
      <c r="D377" s="17" t="s">
        <v>269</v>
      </c>
      <c r="E377" s="17" t="s">
        <v>1055</v>
      </c>
      <c r="F377" s="17" t="s">
        <v>270</v>
      </c>
    </row>
    <row r="378" customFormat="false" ht="14.25" hidden="false" customHeight="true" outlineLevel="0" collapsed="false">
      <c r="A378" s="17" t="e">
        <f aca="false">VLOOKUP(B378,Feuil1!A:B,2,FALSE())</f>
        <v>#N/A</v>
      </c>
      <c r="B378" s="17" t="s">
        <v>873</v>
      </c>
      <c r="C378" s="17" t="s">
        <v>1401</v>
      </c>
      <c r="D378" s="17" t="s">
        <v>1401</v>
      </c>
      <c r="E378" s="17" t="s">
        <v>1402</v>
      </c>
      <c r="F378" s="17" t="s">
        <v>1403</v>
      </c>
    </row>
    <row r="379" customFormat="false" ht="14.25" hidden="false" customHeight="true" outlineLevel="0" collapsed="false">
      <c r="A379" s="17" t="e">
        <f aca="false">VLOOKUP(B379,Feuil1!A:B,2,FALSE())</f>
        <v>#N/A</v>
      </c>
      <c r="B379" s="17" t="s">
        <v>776</v>
      </c>
      <c r="C379" s="17" t="s">
        <v>1404</v>
      </c>
      <c r="D379" s="17" t="s">
        <v>1404</v>
      </c>
      <c r="E379" s="17" t="s">
        <v>1404</v>
      </c>
      <c r="F379" s="17" t="s">
        <v>1405</v>
      </c>
    </row>
    <row r="380" customFormat="false" ht="14.25" hidden="false" customHeight="true" outlineLevel="0" collapsed="false">
      <c r="A380" s="17" t="str">
        <f aca="false">VLOOKUP(B380,Feuil1!A:B,2,FALSE())</f>
        <v>District - Résultat final du laboratoire</v>
      </c>
      <c r="B380" s="17" t="s">
        <v>505</v>
      </c>
      <c r="C380" s="17" t="s">
        <v>449</v>
      </c>
      <c r="D380" s="17" t="s">
        <v>449</v>
      </c>
      <c r="E380" s="17" t="s">
        <v>1406</v>
      </c>
      <c r="F380" s="17" t="s">
        <v>448</v>
      </c>
    </row>
    <row r="381" customFormat="false" ht="14.25" hidden="false" customHeight="true" outlineLevel="0" collapsed="false">
      <c r="A381" s="17" t="e">
        <f aca="false">VLOOKUP(B381,Feuil1!A:B,2,FALSE())</f>
        <v>#N/A</v>
      </c>
      <c r="B381" s="17" t="s">
        <v>848</v>
      </c>
      <c r="C381" s="17" t="s">
        <v>1407</v>
      </c>
      <c r="D381" s="17" t="s">
        <v>1407</v>
      </c>
      <c r="E381" s="17" t="s">
        <v>345</v>
      </c>
      <c r="F381" s="17" t="s">
        <v>1408</v>
      </c>
    </row>
    <row r="382" customFormat="false" ht="14.25" hidden="false" customHeight="true" outlineLevel="0" collapsed="false">
      <c r="A382" s="17" t="e">
        <f aca="false">VLOOKUP(B382,Feuil1!A:B,2,FALSE())</f>
        <v>#N/A</v>
      </c>
      <c r="B382" s="17" t="s">
        <v>830</v>
      </c>
      <c r="C382" s="17" t="s">
        <v>364</v>
      </c>
      <c r="D382" s="17" t="s">
        <v>364</v>
      </c>
      <c r="E382" s="17" t="s">
        <v>364</v>
      </c>
      <c r="F382" s="17" t="s">
        <v>1409</v>
      </c>
    </row>
    <row r="383" customFormat="false" ht="14.25" hidden="false" customHeight="true" outlineLevel="0" collapsed="false">
      <c r="A383" s="17" t="e">
        <f aca="false">VLOOKUP(B383,Feuil1!A:B,2,FALSE())</f>
        <v>#N/A</v>
      </c>
      <c r="B383" s="17" t="s">
        <v>819</v>
      </c>
      <c r="C383" s="17" t="s">
        <v>1410</v>
      </c>
      <c r="D383" s="17" t="s">
        <v>1410</v>
      </c>
      <c r="E383" s="17" t="s">
        <v>1410</v>
      </c>
      <c r="F383" s="17" t="s">
        <v>1411</v>
      </c>
    </row>
    <row r="384" customFormat="false" ht="14.25" hidden="false" customHeight="true" outlineLevel="0" collapsed="false">
      <c r="A384" s="17" t="str">
        <f aca="false">VLOOKUP(B384,Feuil1!A:B,2,FALSE())</f>
        <v>District - Résultat de l'agglutination du latex</v>
      </c>
      <c r="B384" s="17" t="s">
        <v>551</v>
      </c>
      <c r="C384" s="17" t="s">
        <v>427</v>
      </c>
      <c r="D384" s="17" t="s">
        <v>427</v>
      </c>
      <c r="E384" s="17" t="s">
        <v>1412</v>
      </c>
      <c r="F384" s="17" t="s">
        <v>426</v>
      </c>
    </row>
    <row r="385" customFormat="false" ht="14.25" hidden="false" customHeight="true" outlineLevel="0" collapsed="false">
      <c r="A385" s="17" t="e">
        <f aca="false">VLOOKUP(B385,Feuil1!A:B,2,FALSE())</f>
        <v>#N/A</v>
      </c>
      <c r="B385" s="17" t="s">
        <v>833</v>
      </c>
      <c r="C385" s="17" t="s">
        <v>1413</v>
      </c>
      <c r="D385" s="17" t="s">
        <v>1413</v>
      </c>
      <c r="E385" s="17" t="s">
        <v>1413</v>
      </c>
      <c r="F385" s="17" t="s">
        <v>1414</v>
      </c>
    </row>
    <row r="386" customFormat="false" ht="14.25" hidden="false" customHeight="true" outlineLevel="0" collapsed="false">
      <c r="A386" s="17" t="e">
        <f aca="false">VLOOKUP(B386,Feuil1!A:B,2,FALSE())</f>
        <v>#N/A</v>
      </c>
      <c r="B386" s="17" t="s">
        <v>992</v>
      </c>
      <c r="C386" s="17" t="s">
        <v>1415</v>
      </c>
      <c r="D386" s="17" t="s">
        <v>1415</v>
      </c>
      <c r="E386" s="17" t="s">
        <v>1415</v>
      </c>
      <c r="F386" s="17" t="s">
        <v>1416</v>
      </c>
    </row>
    <row r="387" customFormat="false" ht="14.25" hidden="false" customHeight="true" outlineLevel="0" collapsed="false">
      <c r="A387" s="17" t="e">
        <f aca="false">VLOOKUP(B387,Feuil1!A:B,2,FALSE())</f>
        <v>#N/A</v>
      </c>
      <c r="B387" s="17" t="s">
        <v>1358</v>
      </c>
      <c r="C387" s="17" t="s">
        <v>463</v>
      </c>
      <c r="D387" s="17" t="s">
        <v>463</v>
      </c>
      <c r="E387" s="17" t="s">
        <v>463</v>
      </c>
      <c r="F387" s="17" t="s">
        <v>1417</v>
      </c>
    </row>
    <row r="388" customFormat="false" ht="14.25" hidden="false" customHeight="true" outlineLevel="0" collapsed="false">
      <c r="A388" s="17" t="e">
        <f aca="false">VLOOKUP(B388,Feuil1!A:B,2,FALSE())</f>
        <v>#N/A</v>
      </c>
      <c r="B388" s="17" t="s">
        <v>1205</v>
      </c>
      <c r="C388" s="17" t="s">
        <v>1418</v>
      </c>
      <c r="D388" s="17" t="s">
        <v>1418</v>
      </c>
      <c r="E388" s="17" t="s">
        <v>1418</v>
      </c>
      <c r="F388" s="17" t="s">
        <v>1419</v>
      </c>
    </row>
    <row r="389" customFormat="false" ht="14.25" hidden="false" customHeight="true" outlineLevel="0" collapsed="false">
      <c r="A389" s="17" t="e">
        <f aca="false">VLOOKUP(B389,Feuil1!A:B,2,FALSE())</f>
        <v>#N/A</v>
      </c>
      <c r="B389" s="17" t="s">
        <v>1030</v>
      </c>
      <c r="C389" s="17" t="s">
        <v>1420</v>
      </c>
      <c r="D389" s="17" t="s">
        <v>1420</v>
      </c>
      <c r="E389" s="17" t="s">
        <v>1420</v>
      </c>
      <c r="F389" s="17" t="s">
        <v>1421</v>
      </c>
    </row>
    <row r="390" customFormat="false" ht="14.25" hidden="false" customHeight="true" outlineLevel="0" collapsed="false">
      <c r="A390" s="17" t="e">
        <f aca="false">VLOOKUP(B390,Feuil1!A:B,2,FALSE())</f>
        <v>#N/A</v>
      </c>
      <c r="B390" s="17" t="s">
        <v>796</v>
      </c>
      <c r="C390" s="17" t="s">
        <v>1422</v>
      </c>
      <c r="D390" s="17" t="s">
        <v>1422</v>
      </c>
      <c r="E390" s="17" t="s">
        <v>1423</v>
      </c>
      <c r="F390" s="17" t="s">
        <v>1424</v>
      </c>
    </row>
    <row r="391" customFormat="false" ht="14.25" hidden="false" customHeight="true" outlineLevel="0" collapsed="false">
      <c r="A391" s="17" t="str">
        <f aca="false">VLOOKUP(B391,Feuil1!A:B,2,FALSE())</f>
        <v>District - Résultat de l'agglutination du latex</v>
      </c>
      <c r="B391" s="17" t="s">
        <v>551</v>
      </c>
      <c r="C391" s="17" t="s">
        <v>274</v>
      </c>
      <c r="D391" s="17" t="s">
        <v>274</v>
      </c>
      <c r="E391" s="17" t="s">
        <v>274</v>
      </c>
      <c r="F391" s="17" t="s">
        <v>276</v>
      </c>
    </row>
    <row r="392" customFormat="false" ht="14.25" hidden="false" customHeight="true" outlineLevel="0" collapsed="false">
      <c r="A392" s="17" t="e">
        <f aca="false">VLOOKUP(B392,Feuil1!A:B,2,FALSE())</f>
        <v>#N/A</v>
      </c>
      <c r="B392" s="17" t="s">
        <v>1121</v>
      </c>
      <c r="C392" s="17" t="s">
        <v>287</v>
      </c>
      <c r="D392" s="17" t="s">
        <v>287</v>
      </c>
      <c r="E392" s="17" t="s">
        <v>287</v>
      </c>
      <c r="F392" s="17" t="s">
        <v>1425</v>
      </c>
    </row>
    <row r="393" customFormat="false" ht="14.25" hidden="false" customHeight="true" outlineLevel="0" collapsed="false">
      <c r="A393" s="17" t="e">
        <f aca="false">VLOOKUP(B393,Feuil1!A:B,2,FALSE())</f>
        <v>#N/A</v>
      </c>
      <c r="B393" s="17" t="s">
        <v>812</v>
      </c>
      <c r="C393" s="17" t="s">
        <v>1426</v>
      </c>
      <c r="D393" s="17" t="s">
        <v>1426</v>
      </c>
      <c r="E393" s="17" t="s">
        <v>1114</v>
      </c>
      <c r="F393" s="17" t="s">
        <v>1427</v>
      </c>
    </row>
    <row r="394" customFormat="false" ht="14.25" hidden="false" customHeight="true" outlineLevel="0" collapsed="false">
      <c r="A394" s="17" t="e">
        <f aca="false">VLOOKUP(B394,Feuil1!A:B,2,FALSE())</f>
        <v>#N/A</v>
      </c>
      <c r="B394" s="17" t="s">
        <v>931</v>
      </c>
      <c r="C394" s="17" t="s">
        <v>1428</v>
      </c>
      <c r="D394" s="17" t="s">
        <v>1428</v>
      </c>
      <c r="E394" s="17" t="s">
        <v>1428</v>
      </c>
      <c r="F394" s="17" t="s">
        <v>1429</v>
      </c>
    </row>
    <row r="395" customFormat="false" ht="14.25" hidden="false" customHeight="true" outlineLevel="0" collapsed="false">
      <c r="A395" s="17" t="e">
        <f aca="false">VLOOKUP(B395,Feuil1!A:B,2,FALSE())</f>
        <v>#N/A</v>
      </c>
      <c r="B395" s="17" t="s">
        <v>992</v>
      </c>
      <c r="C395" s="17" t="s">
        <v>1430</v>
      </c>
      <c r="D395" s="17" t="s">
        <v>1430</v>
      </c>
      <c r="E395" s="17" t="s">
        <v>1430</v>
      </c>
      <c r="F395" s="17" t="s">
        <v>1431</v>
      </c>
    </row>
    <row r="396" customFormat="false" ht="14.25" hidden="false" customHeight="true" outlineLevel="0" collapsed="false">
      <c r="A396" s="17" t="e">
        <f aca="false">VLOOKUP(B396,Feuil1!A:B,2,FALSE())</f>
        <v>#N/A</v>
      </c>
      <c r="B396" s="17" t="s">
        <v>802</v>
      </c>
      <c r="C396" s="17" t="s">
        <v>1432</v>
      </c>
      <c r="D396" s="17" t="s">
        <v>1432</v>
      </c>
      <c r="E396" s="17" t="s">
        <v>1248</v>
      </c>
      <c r="F396" s="17" t="s">
        <v>1433</v>
      </c>
    </row>
    <row r="397" customFormat="false" ht="14.25" hidden="false" customHeight="true" outlineLevel="0" collapsed="false">
      <c r="A397" s="17" t="str">
        <f aca="false">VLOOKUP(B397,Feuil1!A:B,2,FALSE())</f>
        <v>District - sérotype S. pneumoniae</v>
      </c>
      <c r="B397" s="17" t="s">
        <v>545</v>
      </c>
      <c r="C397" s="17" t="n">
        <v>2</v>
      </c>
      <c r="D397" s="17" t="n">
        <v>2</v>
      </c>
      <c r="E397" s="17" t="n">
        <v>2</v>
      </c>
      <c r="F397" s="17" t="s">
        <v>101</v>
      </c>
    </row>
    <row r="398" customFormat="false" ht="14.25" hidden="false" customHeight="true" outlineLevel="0" collapsed="false">
      <c r="A398" s="17" t="e">
        <f aca="false">VLOOKUP(B398,Feuil1!A:B,2,FALSE())</f>
        <v>#N/A</v>
      </c>
      <c r="B398" s="17" t="s">
        <v>873</v>
      </c>
      <c r="C398" s="17" t="s">
        <v>1434</v>
      </c>
      <c r="D398" s="17" t="s">
        <v>1434</v>
      </c>
      <c r="E398" s="17" t="s">
        <v>1435</v>
      </c>
      <c r="F398" s="17" t="s">
        <v>1436</v>
      </c>
    </row>
    <row r="399" customFormat="false" ht="14.25" hidden="false" customHeight="true" outlineLevel="0" collapsed="false">
      <c r="A399" s="17" t="e">
        <f aca="false">VLOOKUP(B399,Feuil1!A:B,2,FALSE())</f>
        <v>#N/A</v>
      </c>
      <c r="B399" s="17" t="s">
        <v>1099</v>
      </c>
      <c r="C399" s="17" t="s">
        <v>1437</v>
      </c>
      <c r="D399" s="17" t="s">
        <v>1437</v>
      </c>
      <c r="E399" s="17" t="s">
        <v>1437</v>
      </c>
      <c r="F399" s="17" t="s">
        <v>1438</v>
      </c>
    </row>
    <row r="400" customFormat="false" ht="14.25" hidden="false" customHeight="true" outlineLevel="0" collapsed="false">
      <c r="A400" s="17" t="str">
        <f aca="false">VLOOKUP(B400,Feuil1!A:B,2,FALSE())</f>
        <v>District - Résultat du PCR</v>
      </c>
      <c r="B400" s="17" t="s">
        <v>651</v>
      </c>
      <c r="C400" s="17" t="s">
        <v>382</v>
      </c>
      <c r="D400" s="17" t="s">
        <v>382</v>
      </c>
      <c r="E400" s="17" t="s">
        <v>1014</v>
      </c>
      <c r="F400" s="17" t="s">
        <v>381</v>
      </c>
    </row>
    <row r="401" customFormat="false" ht="14.25" hidden="false" customHeight="true" outlineLevel="0" collapsed="false">
      <c r="A401" s="17" t="e">
        <f aca="false">VLOOKUP(B401,Feuil1!A:B,2,FALSE())</f>
        <v>#N/A</v>
      </c>
      <c r="B401" s="17" t="s">
        <v>1300</v>
      </c>
      <c r="C401" s="17" t="s">
        <v>1439</v>
      </c>
      <c r="D401" s="17" t="s">
        <v>1439</v>
      </c>
      <c r="E401" s="17" t="s">
        <v>1439</v>
      </c>
      <c r="F401" s="17" t="s">
        <v>1440</v>
      </c>
    </row>
    <row r="402" customFormat="false" ht="14.25" hidden="false" customHeight="true" outlineLevel="0" collapsed="false">
      <c r="A402" s="17" t="e">
        <f aca="false">VLOOKUP(B402,Feuil1!A:B,2,FALSE())</f>
        <v>#N/A</v>
      </c>
      <c r="B402" s="17" t="s">
        <v>1177</v>
      </c>
      <c r="C402" s="17" t="s">
        <v>1441</v>
      </c>
      <c r="D402" s="17" t="s">
        <v>1441</v>
      </c>
      <c r="E402" s="17" t="s">
        <v>1441</v>
      </c>
      <c r="F402" s="17" t="s">
        <v>1442</v>
      </c>
    </row>
    <row r="403" customFormat="false" ht="14.25" hidden="false" customHeight="true" outlineLevel="0" collapsed="false">
      <c r="A403" s="17" t="e">
        <f aca="false">VLOOKUP(B403,Feuil1!A:B,2,FALSE())</f>
        <v>#N/A</v>
      </c>
      <c r="B403" s="17" t="s">
        <v>915</v>
      </c>
      <c r="C403" s="17" t="s">
        <v>287</v>
      </c>
      <c r="D403" s="17" t="s">
        <v>287</v>
      </c>
      <c r="E403" s="17" t="s">
        <v>287</v>
      </c>
      <c r="F403" s="17" t="s">
        <v>1443</v>
      </c>
    </row>
    <row r="404" customFormat="false" ht="14.25" hidden="false" customHeight="true" outlineLevel="0" collapsed="false">
      <c r="A404" s="17" t="e">
        <f aca="false">VLOOKUP(B404,Feuil1!A:B,2,FALSE())</f>
        <v>#N/A</v>
      </c>
      <c r="B404" s="17" t="s">
        <v>859</v>
      </c>
      <c r="C404" s="17" t="s">
        <v>1125</v>
      </c>
      <c r="D404" s="17" t="s">
        <v>1125</v>
      </c>
      <c r="E404" s="17" t="s">
        <v>1125</v>
      </c>
      <c r="F404" s="17" t="s">
        <v>1444</v>
      </c>
    </row>
    <row r="405" customFormat="false" ht="14.25" hidden="false" customHeight="true" outlineLevel="0" collapsed="false">
      <c r="A405" s="17" t="str">
        <f aca="false">VLOOKUP(B405,Feuil1!A:B,2,FALSE())</f>
        <v>District - sérotype S. pneumoniae</v>
      </c>
      <c r="B405" s="17" t="s">
        <v>545</v>
      </c>
      <c r="C405" s="17" t="n">
        <v>21</v>
      </c>
      <c r="D405" s="17" t="n">
        <v>21</v>
      </c>
      <c r="E405" s="17" t="n">
        <v>21</v>
      </c>
      <c r="F405" s="17" t="s">
        <v>103</v>
      </c>
    </row>
    <row r="406" customFormat="false" ht="14.25" hidden="false" customHeight="true" outlineLevel="0" collapsed="false">
      <c r="A406" s="17" t="e">
        <f aca="false">VLOOKUP(B406,Feuil1!A:B,2,FALSE())</f>
        <v>#N/A</v>
      </c>
      <c r="B406" s="17" t="s">
        <v>868</v>
      </c>
      <c r="C406" s="17" t="s">
        <v>307</v>
      </c>
      <c r="D406" s="17" t="s">
        <v>307</v>
      </c>
      <c r="E406" s="17" t="s">
        <v>307</v>
      </c>
      <c r="F406" s="17" t="s">
        <v>1445</v>
      </c>
    </row>
    <row r="407" customFormat="false" ht="14.25" hidden="false" customHeight="true" outlineLevel="0" collapsed="false">
      <c r="A407" s="17" t="e">
        <f aca="false">VLOOKUP(B407,Feuil1!A:B,2,FALSE())</f>
        <v>#N/A</v>
      </c>
      <c r="B407" s="17" t="s">
        <v>935</v>
      </c>
      <c r="C407" s="17" t="s">
        <v>1446</v>
      </c>
      <c r="D407" s="17" t="s">
        <v>1446</v>
      </c>
      <c r="E407" s="17" t="s">
        <v>1341</v>
      </c>
      <c r="F407" s="17" t="s">
        <v>1447</v>
      </c>
    </row>
    <row r="408" customFormat="false" ht="14.25" hidden="false" customHeight="true" outlineLevel="0" collapsed="false">
      <c r="A408" s="17" t="str">
        <f aca="false">VLOOKUP(B408,Feuil1!A:B,2,FALSE())</f>
        <v>District - Résultat final du laboratoire</v>
      </c>
      <c r="B408" s="17" t="s">
        <v>505</v>
      </c>
      <c r="C408" s="17" t="s">
        <v>242</v>
      </c>
      <c r="D408" s="17" t="s">
        <v>242</v>
      </c>
      <c r="E408" s="17" t="s">
        <v>1448</v>
      </c>
      <c r="F408" s="17" t="s">
        <v>241</v>
      </c>
    </row>
    <row r="409" customFormat="false" ht="14.25" hidden="false" customHeight="true" outlineLevel="0" collapsed="false">
      <c r="A409" s="17" t="e">
        <f aca="false">VLOOKUP(B409,Feuil1!A:B,2,FALSE())</f>
        <v>#N/A</v>
      </c>
      <c r="B409" s="17" t="s">
        <v>1190</v>
      </c>
      <c r="C409" s="17" t="s">
        <v>1449</v>
      </c>
      <c r="D409" s="17" t="s">
        <v>1449</v>
      </c>
      <c r="E409" s="17" t="s">
        <v>1449</v>
      </c>
      <c r="F409" s="17" t="s">
        <v>1450</v>
      </c>
    </row>
    <row r="410" customFormat="false" ht="14.25" hidden="false" customHeight="true" outlineLevel="0" collapsed="false">
      <c r="A410" s="17" t="str">
        <f aca="false">VLOOKUP(B410,Feuil1!A:B,2,FALSE())</f>
        <v>District - sérotype S. pneumoniae</v>
      </c>
      <c r="B410" s="17" t="s">
        <v>545</v>
      </c>
      <c r="C410" s="17" t="s">
        <v>138</v>
      </c>
      <c r="D410" s="17" t="s">
        <v>138</v>
      </c>
      <c r="E410" s="17" t="s">
        <v>138</v>
      </c>
      <c r="F410" s="17" t="s">
        <v>137</v>
      </c>
    </row>
    <row r="411" customFormat="false" ht="14.25" hidden="false" customHeight="true" outlineLevel="0" collapsed="false">
      <c r="A411" s="17" t="str">
        <f aca="false">VLOOKUP(B411,Feuil1!A:B,2,FALSE())</f>
        <v>Altération de la conscience</v>
      </c>
      <c r="B411" s="17" t="s">
        <v>549</v>
      </c>
      <c r="C411" s="17" t="s">
        <v>346</v>
      </c>
      <c r="D411" s="17" t="s">
        <v>346</v>
      </c>
      <c r="E411" s="17" t="s">
        <v>345</v>
      </c>
      <c r="F411" s="17" t="s">
        <v>350</v>
      </c>
    </row>
    <row r="412" customFormat="false" ht="14.25" hidden="false" customHeight="true" outlineLevel="0" collapsed="false">
      <c r="A412" s="17" t="e">
        <f aca="false">VLOOKUP(B412,Feuil1!A:B,2,FALSE())</f>
        <v>#N/A</v>
      </c>
      <c r="B412" s="17" t="s">
        <v>1016</v>
      </c>
      <c r="C412" s="17" t="s">
        <v>1451</v>
      </c>
      <c r="D412" s="17" t="s">
        <v>1451</v>
      </c>
      <c r="E412" s="17" t="s">
        <v>1451</v>
      </c>
      <c r="F412" s="17" t="s">
        <v>1452</v>
      </c>
    </row>
    <row r="413" customFormat="false" ht="14.25" hidden="false" customHeight="true" outlineLevel="0" collapsed="false">
      <c r="A413" s="17" t="e">
        <f aca="false">VLOOKUP(B413,Feuil1!A:B,2,FALSE())</f>
        <v>#N/A</v>
      </c>
      <c r="B413" s="17" t="s">
        <v>776</v>
      </c>
      <c r="C413" s="17" t="s">
        <v>1453</v>
      </c>
      <c r="D413" s="17" t="s">
        <v>1453</v>
      </c>
      <c r="E413" s="17" t="s">
        <v>1454</v>
      </c>
      <c r="F413" s="17" t="s">
        <v>1455</v>
      </c>
    </row>
    <row r="414" customFormat="false" ht="14.25" hidden="false" customHeight="true" outlineLevel="0" collapsed="false">
      <c r="A414" s="17" t="e">
        <f aca="false">VLOOKUP(B414,Feuil1!A:B,2,FALSE())</f>
        <v>#N/A</v>
      </c>
      <c r="B414" s="17" t="s">
        <v>830</v>
      </c>
      <c r="C414" s="17" t="s">
        <v>1025</v>
      </c>
      <c r="D414" s="17" t="s">
        <v>1025</v>
      </c>
      <c r="E414" s="17" t="s">
        <v>1025</v>
      </c>
      <c r="F414" s="17" t="s">
        <v>1456</v>
      </c>
    </row>
    <row r="415" customFormat="false" ht="14.25" hidden="false" customHeight="true" outlineLevel="0" collapsed="false">
      <c r="A415" s="17" t="str">
        <f aca="false">VLOOKUP(B415,Feuil1!A:B,2,FALSE())</f>
        <v>District - sérotype S. pneumoniae</v>
      </c>
      <c r="B415" s="17" t="s">
        <v>545</v>
      </c>
      <c r="C415" s="17" t="n">
        <v>38</v>
      </c>
      <c r="D415" s="17" t="n">
        <v>38</v>
      </c>
      <c r="E415" s="17" t="n">
        <v>38</v>
      </c>
      <c r="F415" s="17" t="s">
        <v>131</v>
      </c>
    </row>
    <row r="416" customFormat="false" ht="14.25" hidden="false" customHeight="true" outlineLevel="0" collapsed="false">
      <c r="A416" s="17" t="e">
        <f aca="false">VLOOKUP(B416,Feuil1!A:B,2,FALSE())</f>
        <v>#N/A</v>
      </c>
      <c r="B416" s="17" t="s">
        <v>888</v>
      </c>
      <c r="C416" s="17" t="s">
        <v>857</v>
      </c>
      <c r="D416" s="17" t="s">
        <v>857</v>
      </c>
      <c r="E416" s="17" t="s">
        <v>814</v>
      </c>
      <c r="F416" s="17" t="s">
        <v>1457</v>
      </c>
    </row>
    <row r="417" customFormat="false" ht="14.25" hidden="false" customHeight="true" outlineLevel="0" collapsed="false">
      <c r="A417" s="17" t="e">
        <f aca="false">VLOOKUP(B417,Feuil1!A:B,2,FALSE())</f>
        <v>#N/A</v>
      </c>
      <c r="B417" s="17" t="s">
        <v>776</v>
      </c>
      <c r="C417" s="17" t="s">
        <v>355</v>
      </c>
      <c r="D417" s="17" t="s">
        <v>355</v>
      </c>
      <c r="E417" s="17" t="s">
        <v>966</v>
      </c>
      <c r="F417" s="17" t="s">
        <v>1458</v>
      </c>
    </row>
    <row r="418" customFormat="false" ht="14.25" hidden="false" customHeight="true" outlineLevel="0" collapsed="false">
      <c r="A418" s="17" t="e">
        <f aca="false">VLOOKUP(B418,Feuil1!A:B,2,FALSE())</f>
        <v>#N/A</v>
      </c>
      <c r="B418" s="17" t="s">
        <v>1244</v>
      </c>
      <c r="C418" s="17" t="s">
        <v>1459</v>
      </c>
      <c r="D418" s="17" t="s">
        <v>1459</v>
      </c>
      <c r="E418" s="17" t="s">
        <v>1459</v>
      </c>
      <c r="F418" s="17" t="s">
        <v>1460</v>
      </c>
    </row>
    <row r="419" customFormat="false" ht="14.25" hidden="false" customHeight="true" outlineLevel="0" collapsed="false">
      <c r="A419" s="17" t="e">
        <f aca="false">VLOOKUP(B419,Feuil1!A:B,2,FALSE())</f>
        <v>#N/A</v>
      </c>
      <c r="B419" s="17" t="s">
        <v>1177</v>
      </c>
      <c r="C419" s="17" t="s">
        <v>1461</v>
      </c>
      <c r="D419" s="17" t="s">
        <v>1461</v>
      </c>
      <c r="E419" s="17" t="s">
        <v>1462</v>
      </c>
      <c r="F419" s="17" t="s">
        <v>1463</v>
      </c>
    </row>
    <row r="420" customFormat="false" ht="14.25" hidden="false" customHeight="true" outlineLevel="0" collapsed="false">
      <c r="A420" s="17" t="str">
        <f aca="false">VLOOKUP(B420,Feuil1!A:B,2,FALSE())</f>
        <v>Devenir du patient</v>
      </c>
      <c r="B420" s="17" t="s">
        <v>503</v>
      </c>
      <c r="C420" s="17" t="s">
        <v>395</v>
      </c>
      <c r="D420" s="17" t="s">
        <v>395</v>
      </c>
      <c r="E420" s="17" t="s">
        <v>857</v>
      </c>
      <c r="F420" s="17" t="s">
        <v>394</v>
      </c>
    </row>
    <row r="421" customFormat="false" ht="14.25" hidden="false" customHeight="true" outlineLevel="0" collapsed="false">
      <c r="A421" s="17" t="e">
        <f aca="false">VLOOKUP(B421,Feuil1!A:B,2,FALSE())</f>
        <v>#N/A</v>
      </c>
      <c r="B421" s="17" t="s">
        <v>796</v>
      </c>
      <c r="C421" s="17" t="s">
        <v>1464</v>
      </c>
      <c r="D421" s="17" t="s">
        <v>1464</v>
      </c>
      <c r="E421" s="17" t="s">
        <v>1464</v>
      </c>
      <c r="F421" s="17" t="s">
        <v>1465</v>
      </c>
    </row>
    <row r="422" customFormat="false" ht="14.25" hidden="false" customHeight="true" outlineLevel="0" collapsed="false">
      <c r="A422" s="17" t="e">
        <f aca="false">VLOOKUP(B422,Feuil1!A:B,2,FALSE())</f>
        <v>#N/A</v>
      </c>
      <c r="B422" s="17" t="s">
        <v>961</v>
      </c>
      <c r="C422" s="17" t="s">
        <v>1466</v>
      </c>
      <c r="D422" s="17" t="s">
        <v>1466</v>
      </c>
      <c r="E422" s="17" t="s">
        <v>1467</v>
      </c>
      <c r="F422" s="17" t="s">
        <v>1468</v>
      </c>
    </row>
    <row r="423" customFormat="false" ht="14.25" hidden="false" customHeight="true" outlineLevel="0" collapsed="false">
      <c r="A423" s="17" t="str">
        <f aca="false">VLOOKUP(B423,Feuil1!A:B,2,FALSE())</f>
        <v>Devenir du patient</v>
      </c>
      <c r="B423" s="17" t="s">
        <v>503</v>
      </c>
      <c r="C423" s="17" t="s">
        <v>398</v>
      </c>
      <c r="D423" s="17" t="s">
        <v>398</v>
      </c>
      <c r="E423" s="17" t="s">
        <v>1469</v>
      </c>
      <c r="F423" s="17" t="s">
        <v>397</v>
      </c>
    </row>
    <row r="424" customFormat="false" ht="14.25" hidden="false" customHeight="true" outlineLevel="0" collapsed="false">
      <c r="A424" s="17" t="e">
        <f aca="false">VLOOKUP(B424,Feuil1!A:B,2,FALSE())</f>
        <v>#N/A</v>
      </c>
      <c r="B424" s="17" t="s">
        <v>776</v>
      </c>
      <c r="C424" s="17" t="s">
        <v>1470</v>
      </c>
      <c r="D424" s="17" t="s">
        <v>1470</v>
      </c>
      <c r="E424" s="17" t="s">
        <v>1471</v>
      </c>
      <c r="F424" s="17" t="s">
        <v>1472</v>
      </c>
    </row>
    <row r="425" customFormat="false" ht="14.25" hidden="false" customHeight="true" outlineLevel="0" collapsed="false">
      <c r="A425" s="17" t="e">
        <f aca="false">VLOOKUP(B425,Feuil1!A:B,2,FALSE())</f>
        <v>#N/A</v>
      </c>
      <c r="B425" s="17" t="s">
        <v>992</v>
      </c>
      <c r="C425" s="17" t="s">
        <v>1349</v>
      </c>
      <c r="D425" s="17" t="s">
        <v>1349</v>
      </c>
      <c r="E425" s="17" t="s">
        <v>1349</v>
      </c>
      <c r="F425" s="17" t="s">
        <v>1473</v>
      </c>
    </row>
    <row r="426" customFormat="false" ht="14.25" hidden="false" customHeight="true" outlineLevel="0" collapsed="false">
      <c r="A426" s="17" t="e">
        <f aca="false">VLOOKUP(B426,Feuil1!A:B,2,FALSE())</f>
        <v>#N/A</v>
      </c>
      <c r="B426" s="17" t="s">
        <v>854</v>
      </c>
      <c r="C426" s="17" t="s">
        <v>1474</v>
      </c>
      <c r="D426" s="17" t="s">
        <v>1474</v>
      </c>
      <c r="E426" s="17" t="s">
        <v>1474</v>
      </c>
      <c r="F426" s="17" t="s">
        <v>1475</v>
      </c>
    </row>
    <row r="427" customFormat="false" ht="14.25" hidden="false" customHeight="true" outlineLevel="0" collapsed="false">
      <c r="A427" s="17" t="e">
        <f aca="false">VLOOKUP(B427,Feuil1!A:B,2,FALSE())</f>
        <v>#N/A</v>
      </c>
      <c r="B427" s="17" t="s">
        <v>776</v>
      </c>
      <c r="C427" s="17" t="s">
        <v>449</v>
      </c>
      <c r="D427" s="17" t="s">
        <v>449</v>
      </c>
      <c r="E427" s="17" t="s">
        <v>929</v>
      </c>
      <c r="F427" s="17" t="s">
        <v>1476</v>
      </c>
    </row>
    <row r="428" customFormat="false" ht="14.25" hidden="false" customHeight="true" outlineLevel="0" collapsed="false">
      <c r="A428" s="17" t="str">
        <f aca="false">VLOOKUP(B428,Feuil1!A:B,2,FALSE())</f>
        <v>District - sérotype S. pneumoniae</v>
      </c>
      <c r="B428" s="17" t="s">
        <v>545</v>
      </c>
      <c r="C428" s="17" t="n">
        <v>31</v>
      </c>
      <c r="D428" s="17" t="n">
        <v>31</v>
      </c>
      <c r="E428" s="17" t="n">
        <v>31</v>
      </c>
      <c r="F428" s="17" t="s">
        <v>119</v>
      </c>
    </row>
    <row r="429" customFormat="false" ht="14.25" hidden="false" customHeight="true" outlineLevel="0" collapsed="false">
      <c r="A429" s="17" t="str">
        <f aca="false">VLOOKUP(B429,Feuil1!A:B,2,FALSE())</f>
        <v>District - Aspect de l'échantillon / examen macroscopique (LCR)</v>
      </c>
      <c r="B429" s="17" t="s">
        <v>595</v>
      </c>
      <c r="C429" s="17" t="s">
        <v>216</v>
      </c>
      <c r="D429" s="17" t="s">
        <v>216</v>
      </c>
      <c r="E429" s="17" t="s">
        <v>216</v>
      </c>
      <c r="F429" s="17" t="s">
        <v>215</v>
      </c>
    </row>
    <row r="430" customFormat="false" ht="14.25" hidden="false" customHeight="true" outlineLevel="0" collapsed="false">
      <c r="A430" s="17" t="e">
        <f aca="false">VLOOKUP(B430,Feuil1!A:B,2,FALSE())</f>
        <v>#N/A</v>
      </c>
      <c r="B430" s="17" t="s">
        <v>892</v>
      </c>
      <c r="C430" s="17" t="s">
        <v>1477</v>
      </c>
      <c r="D430" s="17" t="s">
        <v>1477</v>
      </c>
      <c r="E430" s="17" t="s">
        <v>1477</v>
      </c>
      <c r="F430" s="17" t="s">
        <v>1478</v>
      </c>
    </row>
    <row r="431" customFormat="false" ht="14.25" hidden="false" customHeight="true" outlineLevel="0" collapsed="false">
      <c r="A431" s="17" t="e">
        <f aca="false">VLOOKUP(B431,Feuil1!A:B,2,FALSE())</f>
        <v>#N/A</v>
      </c>
      <c r="B431" s="17" t="s">
        <v>1479</v>
      </c>
      <c r="C431" s="17" t="s">
        <v>1480</v>
      </c>
      <c r="D431" s="17" t="s">
        <v>1480</v>
      </c>
      <c r="E431" s="17" t="s">
        <v>1480</v>
      </c>
      <c r="F431" s="17" t="s">
        <v>1481</v>
      </c>
    </row>
    <row r="432" customFormat="false" ht="14.25" hidden="false" customHeight="true" outlineLevel="0" collapsed="false">
      <c r="A432" s="17" t="e">
        <f aca="false">VLOOKUP(B432,Feuil1!A:B,2,FALSE())</f>
        <v>#N/A</v>
      </c>
      <c r="B432" s="17" t="s">
        <v>819</v>
      </c>
      <c r="C432" s="17" t="s">
        <v>831</v>
      </c>
      <c r="D432" s="17" t="s">
        <v>831</v>
      </c>
      <c r="E432" s="17" t="s">
        <v>831</v>
      </c>
      <c r="F432" s="17" t="s">
        <v>1482</v>
      </c>
    </row>
    <row r="433" customFormat="false" ht="14.25" hidden="false" customHeight="true" outlineLevel="0" collapsed="false">
      <c r="A433" s="17" t="e">
        <f aca="false">VLOOKUP(B433,Feuil1!A:B,2,FALSE())</f>
        <v>#N/A</v>
      </c>
      <c r="B433" s="17" t="s">
        <v>819</v>
      </c>
      <c r="C433" s="17" t="s">
        <v>1282</v>
      </c>
      <c r="D433" s="17" t="s">
        <v>1282</v>
      </c>
      <c r="E433" s="17" t="s">
        <v>1282</v>
      </c>
      <c r="F433" s="17" t="s">
        <v>1483</v>
      </c>
    </row>
    <row r="434" customFormat="false" ht="14.25" hidden="false" customHeight="true" outlineLevel="0" collapsed="false">
      <c r="A434" s="17" t="e">
        <f aca="false">VLOOKUP(B434,Feuil1!A:B,2,FALSE())</f>
        <v>#N/A</v>
      </c>
      <c r="B434" s="17" t="s">
        <v>806</v>
      </c>
      <c r="C434" s="17" t="s">
        <v>1484</v>
      </c>
      <c r="D434" s="17" t="s">
        <v>1484</v>
      </c>
      <c r="E434" s="17" t="s">
        <v>1485</v>
      </c>
      <c r="F434" s="17" t="s">
        <v>1486</v>
      </c>
    </row>
    <row r="435" customFormat="false" ht="14.25" hidden="false" customHeight="true" outlineLevel="0" collapsed="false">
      <c r="A435" s="17" t="e">
        <f aca="false">VLOOKUP(B435,Feuil1!A:B,2,FALSE())</f>
        <v>#N/A</v>
      </c>
      <c r="B435" s="17" t="s">
        <v>1023</v>
      </c>
      <c r="C435" s="17" t="s">
        <v>307</v>
      </c>
      <c r="D435" s="17" t="s">
        <v>307</v>
      </c>
      <c r="E435" s="17" t="s">
        <v>307</v>
      </c>
      <c r="F435" s="17" t="s">
        <v>1487</v>
      </c>
    </row>
    <row r="436" customFormat="false" ht="14.25" hidden="false" customHeight="true" outlineLevel="0" collapsed="false">
      <c r="A436" s="17" t="e">
        <f aca="false">VLOOKUP(B436,Feuil1!A:B,2,FALSE())</f>
        <v>#N/A</v>
      </c>
      <c r="B436" s="17" t="s">
        <v>1190</v>
      </c>
      <c r="C436" s="17" t="s">
        <v>1488</v>
      </c>
      <c r="D436" s="17" t="s">
        <v>1488</v>
      </c>
      <c r="E436" s="17" t="s">
        <v>1488</v>
      </c>
      <c r="F436" s="17" t="s">
        <v>1489</v>
      </c>
    </row>
    <row r="437" customFormat="false" ht="14.25" hidden="false" customHeight="true" outlineLevel="0" collapsed="false">
      <c r="A437" s="17" t="str">
        <f aca="false">VLOOKUP(B437,Feuil1!A:B,2,FALSE())</f>
        <v>Suivi / niveau laboratoire</v>
      </c>
      <c r="B437" s="17" t="s">
        <v>655</v>
      </c>
      <c r="C437" s="17" t="s">
        <v>422</v>
      </c>
      <c r="D437" s="17" t="s">
        <v>422</v>
      </c>
      <c r="E437" s="17" t="s">
        <v>1490</v>
      </c>
      <c r="F437" s="17" t="s">
        <v>421</v>
      </c>
    </row>
    <row r="438" customFormat="false" ht="14.25" hidden="false" customHeight="true" outlineLevel="0" collapsed="false">
      <c r="A438" s="17" t="e">
        <f aca="false">VLOOKUP(B438,Feuil1!A:B,2,FALSE())</f>
        <v>#N/A</v>
      </c>
      <c r="B438" s="17" t="s">
        <v>873</v>
      </c>
      <c r="C438" s="17" t="s">
        <v>1491</v>
      </c>
      <c r="D438" s="17" t="s">
        <v>1491</v>
      </c>
      <c r="E438" s="17" t="s">
        <v>375</v>
      </c>
      <c r="F438" s="17" t="s">
        <v>1492</v>
      </c>
    </row>
    <row r="439" customFormat="false" ht="14.25" hidden="false" customHeight="true" outlineLevel="0" collapsed="false">
      <c r="A439" s="17" t="str">
        <f aca="false">VLOOKUP(B439,Feuil1!A:B,2,FALSE())</f>
        <v>District - État de l'échantillon</v>
      </c>
      <c r="B439" s="17" t="s">
        <v>585</v>
      </c>
      <c r="C439" s="17" t="s">
        <v>361</v>
      </c>
      <c r="D439" s="17" t="s">
        <v>361</v>
      </c>
      <c r="E439" s="17" t="s">
        <v>361</v>
      </c>
      <c r="F439" s="17" t="s">
        <v>360</v>
      </c>
    </row>
    <row r="440" customFormat="false" ht="14.25" hidden="false" customHeight="true" outlineLevel="0" collapsed="false">
      <c r="A440" s="17" t="e">
        <f aca="false">VLOOKUP(B440,Feuil1!A:B,2,FALSE())</f>
        <v>#N/A</v>
      </c>
      <c r="B440" s="17" t="s">
        <v>1105</v>
      </c>
      <c r="C440" s="17" t="s">
        <v>1493</v>
      </c>
      <c r="D440" s="17" t="s">
        <v>1493</v>
      </c>
      <c r="E440" s="17" t="s">
        <v>1493</v>
      </c>
      <c r="F440" s="17" t="s">
        <v>1494</v>
      </c>
    </row>
    <row r="441" customFormat="false" ht="14.25" hidden="false" customHeight="true" outlineLevel="0" collapsed="false">
      <c r="A441" s="17" t="e">
        <f aca="false">VLOOKUP(B441,Feuil1!A:B,2,FALSE())</f>
        <v>#N/A</v>
      </c>
      <c r="B441" s="17" t="s">
        <v>1233</v>
      </c>
      <c r="C441" s="17" t="s">
        <v>1495</v>
      </c>
      <c r="D441" s="17" t="s">
        <v>1495</v>
      </c>
      <c r="E441" s="17" t="s">
        <v>1495</v>
      </c>
      <c r="F441" s="17" t="s">
        <v>1496</v>
      </c>
    </row>
    <row r="442" customFormat="false" ht="14.25" hidden="false" customHeight="true" outlineLevel="0" collapsed="false">
      <c r="A442" s="17" t="str">
        <f aca="false">VLOOKUP(B442,Feuil1!A:B,2,FALSE())</f>
        <v>District - sérotype S. pneumoniae</v>
      </c>
      <c r="B442" s="17" t="s">
        <v>545</v>
      </c>
      <c r="C442" s="17" t="s">
        <v>100</v>
      </c>
      <c r="D442" s="17" t="s">
        <v>100</v>
      </c>
      <c r="E442" s="17" t="s">
        <v>100</v>
      </c>
      <c r="F442" s="17" t="s">
        <v>99</v>
      </c>
    </row>
    <row r="443" customFormat="false" ht="14.25" hidden="false" customHeight="true" outlineLevel="0" collapsed="false">
      <c r="A443" s="17" t="str">
        <f aca="false">VLOOKUP(B443,Feuil1!A:B,2,FALSE())</f>
        <v>District - Résultat final du laboratoire</v>
      </c>
      <c r="B443" s="17" t="s">
        <v>505</v>
      </c>
      <c r="C443" s="17" t="s">
        <v>403</v>
      </c>
      <c r="D443" s="17" t="s">
        <v>403</v>
      </c>
      <c r="E443" s="17" t="s">
        <v>403</v>
      </c>
      <c r="F443" s="17" t="s">
        <v>402</v>
      </c>
    </row>
    <row r="444" customFormat="false" ht="14.25" hidden="false" customHeight="true" outlineLevel="0" collapsed="false">
      <c r="A444" s="17" t="e">
        <f aca="false">VLOOKUP(B444,Feuil1!A:B,2,FALSE())</f>
        <v>#N/A</v>
      </c>
      <c r="B444" s="17" t="s">
        <v>830</v>
      </c>
      <c r="C444" s="17" t="s">
        <v>1497</v>
      </c>
      <c r="D444" s="17" t="s">
        <v>1497</v>
      </c>
      <c r="E444" s="17" t="s">
        <v>1497</v>
      </c>
      <c r="F444" s="17" t="s">
        <v>1498</v>
      </c>
    </row>
    <row r="445" customFormat="false" ht="14.25" hidden="false" customHeight="true" outlineLevel="0" collapsed="false">
      <c r="A445" s="17" t="str">
        <f aca="false">VLOOKUP(B445,Feuil1!A:B,2,FALSE())</f>
        <v>District - Résultat de l'agglutination du latex</v>
      </c>
      <c r="B445" s="17" t="s">
        <v>551</v>
      </c>
      <c r="C445" s="17" t="s">
        <v>336</v>
      </c>
      <c r="D445" s="17" t="s">
        <v>336</v>
      </c>
      <c r="E445" s="17" t="s">
        <v>336</v>
      </c>
      <c r="F445" s="17" t="s">
        <v>335</v>
      </c>
    </row>
    <row r="446" customFormat="false" ht="14.25" hidden="false" customHeight="true" outlineLevel="0" collapsed="false">
      <c r="A446" s="17" t="str">
        <f aca="false">VLOOKUP(B446,Feuil1!A:B,2,FALSE())</f>
        <v>Vaccin reçu : Hib</v>
      </c>
      <c r="B446" s="17" t="s">
        <v>665</v>
      </c>
      <c r="C446" s="17" t="s">
        <v>345</v>
      </c>
      <c r="D446" s="17" t="s">
        <v>345</v>
      </c>
      <c r="E446" s="17" t="s">
        <v>345</v>
      </c>
      <c r="F446" s="17" t="s">
        <v>344</v>
      </c>
    </row>
    <row r="447" customFormat="false" ht="14.25" hidden="false" customHeight="true" outlineLevel="0" collapsed="false">
      <c r="A447" s="17" t="str">
        <f aca="false">VLOOKUP(B447,Feuil1!A:B,2,FALSE())</f>
        <v>District - sérotype S. pneumoniae</v>
      </c>
      <c r="B447" s="17" t="s">
        <v>545</v>
      </c>
      <c r="C447" s="17" t="s">
        <v>111</v>
      </c>
      <c r="D447" s="17" t="s">
        <v>111</v>
      </c>
      <c r="E447" s="17" t="s">
        <v>111</v>
      </c>
      <c r="F447" s="17" t="s">
        <v>110</v>
      </c>
    </row>
    <row r="448" customFormat="false" ht="14.25" hidden="false" customHeight="true" outlineLevel="0" collapsed="false">
      <c r="A448" s="17" t="e">
        <f aca="false">VLOOKUP(B448,Feuil1!A:B,2,FALSE())</f>
        <v>#N/A</v>
      </c>
      <c r="B448" s="17" t="s">
        <v>1339</v>
      </c>
      <c r="C448" s="17" t="s">
        <v>1499</v>
      </c>
      <c r="D448" s="17" t="s">
        <v>1499</v>
      </c>
      <c r="E448" s="17" t="s">
        <v>1500</v>
      </c>
      <c r="F448" s="17" t="s">
        <v>1501</v>
      </c>
    </row>
    <row r="449" customFormat="false" ht="14.25" hidden="false" customHeight="true" outlineLevel="0" collapsed="false">
      <c r="A449" s="17" t="e">
        <f aca="false">VLOOKUP(B449,Feuil1!A:B,2,FALSE())</f>
        <v>#N/A</v>
      </c>
      <c r="B449" s="17" t="s">
        <v>1121</v>
      </c>
      <c r="C449" s="17" t="s">
        <v>1502</v>
      </c>
      <c r="D449" s="17" t="s">
        <v>1502</v>
      </c>
      <c r="E449" s="17" t="s">
        <v>1503</v>
      </c>
      <c r="F449" s="17" t="s">
        <v>1504</v>
      </c>
    </row>
    <row r="450" customFormat="false" ht="14.25" hidden="false" customHeight="true" outlineLevel="0" collapsed="false">
      <c r="A450" s="17" t="e">
        <f aca="false">VLOOKUP(B450,Feuil1!A:B,2,FALSE())</f>
        <v>#N/A</v>
      </c>
      <c r="B450" s="17" t="s">
        <v>1244</v>
      </c>
      <c r="C450" s="17" t="s">
        <v>1505</v>
      </c>
      <c r="D450" s="17" t="s">
        <v>1505</v>
      </c>
      <c r="E450" s="17" t="s">
        <v>1505</v>
      </c>
      <c r="F450" s="17" t="s">
        <v>1506</v>
      </c>
    </row>
    <row r="451" customFormat="false" ht="14.25" hidden="false" customHeight="true" outlineLevel="0" collapsed="false">
      <c r="A451" s="17" t="e">
        <f aca="false">VLOOKUP(B451,Feuil1!A:B,2,FALSE())</f>
        <v>#N/A</v>
      </c>
      <c r="B451" s="17" t="s">
        <v>1328</v>
      </c>
      <c r="C451" s="17" t="n">
        <v>2</v>
      </c>
      <c r="D451" s="17" t="n">
        <v>2</v>
      </c>
      <c r="E451" s="17" t="n">
        <v>2</v>
      </c>
      <c r="F451" s="17" t="s">
        <v>1507</v>
      </c>
    </row>
    <row r="452" customFormat="false" ht="14.25" hidden="false" customHeight="true" outlineLevel="0" collapsed="false">
      <c r="A452" s="17" t="e">
        <f aca="false">VLOOKUP(B452,Feuil1!A:B,2,FALSE())</f>
        <v>#N/A</v>
      </c>
      <c r="B452" s="17" t="s">
        <v>1044</v>
      </c>
      <c r="C452" s="17" t="s">
        <v>1508</v>
      </c>
      <c r="D452" s="17" t="s">
        <v>1508</v>
      </c>
      <c r="E452" s="17" t="s">
        <v>1508</v>
      </c>
      <c r="F452" s="17" t="s">
        <v>1509</v>
      </c>
    </row>
    <row r="453" customFormat="false" ht="14.25" hidden="false" customHeight="true" outlineLevel="0" collapsed="false">
      <c r="A453" s="17" t="e">
        <f aca="false">VLOOKUP(B453,Feuil1!A:B,2,FALSE())</f>
        <v>#N/A</v>
      </c>
      <c r="B453" s="17" t="s">
        <v>931</v>
      </c>
      <c r="C453" s="17" t="s">
        <v>1510</v>
      </c>
      <c r="D453" s="17" t="s">
        <v>1510</v>
      </c>
      <c r="E453" s="17" t="s">
        <v>1510</v>
      </c>
      <c r="F453" s="17" t="s">
        <v>1511</v>
      </c>
    </row>
    <row r="454" customFormat="false" ht="14.25" hidden="false" customHeight="true" outlineLevel="0" collapsed="false">
      <c r="A454" s="17" t="e">
        <f aca="false">VLOOKUP(B454,Feuil1!A:B,2,FALSE())</f>
        <v>#N/A</v>
      </c>
      <c r="B454" s="17" t="s">
        <v>873</v>
      </c>
      <c r="C454" s="17" t="s">
        <v>1512</v>
      </c>
      <c r="D454" s="17" t="s">
        <v>1512</v>
      </c>
      <c r="E454" s="17" t="s">
        <v>364</v>
      </c>
      <c r="F454" s="17" t="s">
        <v>1513</v>
      </c>
    </row>
    <row r="455" customFormat="false" ht="14.25" hidden="false" customHeight="true" outlineLevel="0" collapsed="false">
      <c r="A455" s="17" t="str">
        <f aca="false">VLOOKUP(B455,Feuil1!A:B,2,FALSE())</f>
        <v>District - sérotype S. pneumoniae</v>
      </c>
      <c r="B455" s="17" t="s">
        <v>545</v>
      </c>
      <c r="C455" s="17" t="s">
        <v>145</v>
      </c>
      <c r="D455" s="17" t="s">
        <v>145</v>
      </c>
      <c r="E455" s="17" t="s">
        <v>145</v>
      </c>
      <c r="F455" s="17" t="s">
        <v>144</v>
      </c>
    </row>
    <row r="456" customFormat="false" ht="14.25" hidden="false" customHeight="true" outlineLevel="0" collapsed="false">
      <c r="A456" s="17" t="e">
        <f aca="false">VLOOKUP(B456,Feuil1!A:B,2,FALSE())</f>
        <v>#N/A</v>
      </c>
      <c r="B456" s="17" t="s">
        <v>851</v>
      </c>
      <c r="C456" s="17" t="s">
        <v>1514</v>
      </c>
      <c r="D456" s="17" t="s">
        <v>1514</v>
      </c>
      <c r="E456" s="17" t="s">
        <v>1514</v>
      </c>
      <c r="F456" s="17" t="s">
        <v>1515</v>
      </c>
    </row>
    <row r="457" customFormat="false" ht="14.25" hidden="false" customHeight="true" outlineLevel="0" collapsed="false">
      <c r="A457" s="17" t="str">
        <f aca="false">VLOOKUP(B457,Feuil1!A:B,2,FALSE())</f>
        <v>District - Résultat de l'agglutination du latex</v>
      </c>
      <c r="B457" s="17" t="s">
        <v>551</v>
      </c>
      <c r="C457" s="17" t="s">
        <v>318</v>
      </c>
      <c r="D457" s="17" t="s">
        <v>318</v>
      </c>
      <c r="E457" s="17" t="s">
        <v>318</v>
      </c>
      <c r="F457" s="17" t="s">
        <v>317</v>
      </c>
    </row>
    <row r="458" customFormat="false" ht="14.25" hidden="false" customHeight="true" outlineLevel="0" collapsed="false">
      <c r="A458" s="17" t="e">
        <f aca="false">VLOOKUP(B458,Feuil1!A:B,2,FALSE())</f>
        <v>#N/A</v>
      </c>
      <c r="B458" s="17" t="s">
        <v>865</v>
      </c>
      <c r="C458" s="17" t="s">
        <v>1516</v>
      </c>
      <c r="D458" s="17" t="s">
        <v>1516</v>
      </c>
      <c r="E458" s="17" t="s">
        <v>1517</v>
      </c>
      <c r="F458" s="17" t="s">
        <v>1518</v>
      </c>
    </row>
    <row r="459" customFormat="false" ht="14.25" hidden="false" customHeight="true" outlineLevel="0" collapsed="false">
      <c r="A459" s="17" t="str">
        <f aca="false">VLOOKUP(B459,Feuil1!A:B,2,FALSE())</f>
        <v>Devenir du patient</v>
      </c>
      <c r="B459" s="17" t="s">
        <v>503</v>
      </c>
      <c r="C459" s="17" t="s">
        <v>463</v>
      </c>
      <c r="D459" s="17" t="s">
        <v>463</v>
      </c>
      <c r="E459" s="17" t="s">
        <v>463</v>
      </c>
      <c r="F459" s="17" t="s">
        <v>464</v>
      </c>
    </row>
    <row r="460" customFormat="false" ht="14.25" hidden="false" customHeight="true" outlineLevel="0" collapsed="false">
      <c r="A460" s="17" t="e">
        <f aca="false">VLOOKUP(B460,Feuil1!A:B,2,FALSE())</f>
        <v>#N/A</v>
      </c>
      <c r="B460" s="17" t="s">
        <v>944</v>
      </c>
      <c r="C460" s="17" t="s">
        <v>1519</v>
      </c>
      <c r="D460" s="17" t="s">
        <v>1519</v>
      </c>
      <c r="E460" s="17" t="s">
        <v>1519</v>
      </c>
      <c r="F460" s="17" t="s">
        <v>1520</v>
      </c>
    </row>
    <row r="461" customFormat="false" ht="14.25" hidden="false" customHeight="true" outlineLevel="0" collapsed="false">
      <c r="A461" s="17" t="str">
        <f aca="false">VLOOKUP(B461,Feuil1!A:B,2,FALSE())</f>
        <v>Type d'échantillon</v>
      </c>
      <c r="B461" s="17" t="s">
        <v>529</v>
      </c>
      <c r="C461" s="17" t="s">
        <v>209</v>
      </c>
      <c r="D461" s="17" t="s">
        <v>209</v>
      </c>
      <c r="E461" s="17" t="s">
        <v>1521</v>
      </c>
      <c r="F461" s="17" t="s">
        <v>208</v>
      </c>
    </row>
    <row r="462" customFormat="false" ht="14.25" hidden="false" customHeight="true" outlineLevel="0" collapsed="false">
      <c r="A462" s="17" t="e">
        <f aca="false">VLOOKUP(B462,Feuil1!A:B,2,FALSE())</f>
        <v>#N/A</v>
      </c>
      <c r="B462" s="17" t="s">
        <v>833</v>
      </c>
      <c r="C462" s="17" t="s">
        <v>364</v>
      </c>
      <c r="D462" s="17" t="s">
        <v>364</v>
      </c>
      <c r="E462" s="17" t="s">
        <v>364</v>
      </c>
      <c r="F462" s="17" t="s">
        <v>1522</v>
      </c>
    </row>
    <row r="463" customFormat="false" ht="14.25" hidden="false" customHeight="true" outlineLevel="0" collapsed="false">
      <c r="A463" s="17" t="e">
        <f aca="false">VLOOKUP(B463,Feuil1!A:B,2,FALSE())</f>
        <v>#N/A</v>
      </c>
      <c r="B463" s="17" t="s">
        <v>961</v>
      </c>
      <c r="C463" s="17" t="s">
        <v>463</v>
      </c>
      <c r="D463" s="17" t="s">
        <v>463</v>
      </c>
      <c r="E463" s="17" t="s">
        <v>463</v>
      </c>
      <c r="F463" s="17" t="s">
        <v>1523</v>
      </c>
    </row>
    <row r="464" customFormat="false" ht="14.25" hidden="false" customHeight="true" outlineLevel="0" collapsed="false">
      <c r="A464" s="17" t="e">
        <f aca="false">VLOOKUP(B464,Feuil1!A:B,2,FALSE())</f>
        <v>#N/A</v>
      </c>
      <c r="B464" s="17" t="s">
        <v>892</v>
      </c>
      <c r="C464" s="17" t="s">
        <v>1524</v>
      </c>
      <c r="D464" s="17" t="s">
        <v>1524</v>
      </c>
      <c r="E464" s="17" t="s">
        <v>1524</v>
      </c>
      <c r="F464" s="17" t="s">
        <v>1525</v>
      </c>
    </row>
    <row r="465" customFormat="false" ht="14.25" hidden="false" customHeight="true" outlineLevel="0" collapsed="false">
      <c r="A465" s="17" t="e">
        <f aca="false">VLOOKUP(B465,Feuil1!A:B,2,FALSE())</f>
        <v>#N/A</v>
      </c>
      <c r="B465" s="17" t="s">
        <v>1300</v>
      </c>
      <c r="C465" s="17" t="s">
        <v>463</v>
      </c>
      <c r="D465" s="17" t="s">
        <v>463</v>
      </c>
      <c r="E465" s="17" t="s">
        <v>463</v>
      </c>
      <c r="F465" s="17" t="s">
        <v>1526</v>
      </c>
    </row>
    <row r="466" customFormat="false" ht="14.25" hidden="false" customHeight="true" outlineLevel="0" collapsed="false">
      <c r="A466" s="17" t="e">
        <f aca="false">VLOOKUP(B466,Feuil1!A:B,2,FALSE())</f>
        <v>#N/A</v>
      </c>
      <c r="B466" s="17" t="s">
        <v>796</v>
      </c>
      <c r="C466" s="17" t="s">
        <v>307</v>
      </c>
      <c r="D466" s="17" t="s">
        <v>307</v>
      </c>
      <c r="E466" s="17" t="s">
        <v>307</v>
      </c>
      <c r="F466" s="17" t="s">
        <v>1527</v>
      </c>
    </row>
    <row r="467" customFormat="false" ht="14.25" hidden="false" customHeight="true" outlineLevel="0" collapsed="false">
      <c r="A467" s="17" t="e">
        <f aca="false">VLOOKUP(B467,Feuil1!A:B,2,FALSE())</f>
        <v>#N/A</v>
      </c>
      <c r="B467" s="17" t="s">
        <v>1259</v>
      </c>
      <c r="C467" s="17" t="s">
        <v>1528</v>
      </c>
      <c r="D467" s="17" t="s">
        <v>1528</v>
      </c>
      <c r="E467" s="17" t="s">
        <v>1529</v>
      </c>
      <c r="F467" s="17" t="s">
        <v>1530</v>
      </c>
    </row>
    <row r="468" customFormat="false" ht="14.25" hidden="false" customHeight="true" outlineLevel="0" collapsed="false">
      <c r="A468" s="17" t="str">
        <f aca="false">VLOOKUP(B468,Feuil1!A:B,2,FALSE())</f>
        <v>District - sérotype S. pneumoniae</v>
      </c>
      <c r="B468" s="17" t="s">
        <v>545</v>
      </c>
      <c r="C468" s="17" t="n">
        <v>13</v>
      </c>
      <c r="D468" s="17" t="n">
        <v>13</v>
      </c>
      <c r="E468" s="17" t="n">
        <v>13</v>
      </c>
      <c r="F468" s="17" t="s">
        <v>79</v>
      </c>
    </row>
    <row r="469" customFormat="false" ht="14.25" hidden="false" customHeight="true" outlineLevel="0" collapsed="false">
      <c r="A469" s="17" t="e">
        <f aca="false">VLOOKUP(B469,Feuil1!A:B,2,FALSE())</f>
        <v>#N/A</v>
      </c>
      <c r="B469" s="17" t="s">
        <v>1027</v>
      </c>
      <c r="C469" s="17" t="s">
        <v>463</v>
      </c>
      <c r="D469" s="17" t="s">
        <v>463</v>
      </c>
      <c r="E469" s="17" t="s">
        <v>1114</v>
      </c>
      <c r="F469" s="17" t="s">
        <v>1531</v>
      </c>
    </row>
    <row r="470" customFormat="false" ht="14.25" hidden="false" customHeight="true" outlineLevel="0" collapsed="false">
      <c r="A470" s="17" t="str">
        <f aca="false">VLOOKUP(B470,Feuil1!A:B,2,FALSE())</f>
        <v>District - sérotype S. pneumoniae</v>
      </c>
      <c r="B470" s="17" t="s">
        <v>545</v>
      </c>
      <c r="C470" s="17" t="s">
        <v>123</v>
      </c>
      <c r="D470" s="17" t="s">
        <v>123</v>
      </c>
      <c r="E470" s="17" t="s">
        <v>1532</v>
      </c>
      <c r="F470" s="17" t="s">
        <v>122</v>
      </c>
    </row>
    <row r="471" customFormat="false" ht="14.25" hidden="false" customHeight="true" outlineLevel="0" collapsed="false">
      <c r="A471" s="17" t="e">
        <f aca="false">VLOOKUP(B471,Feuil1!A:B,2,FALSE())</f>
        <v>#N/A</v>
      </c>
      <c r="B471" s="17" t="s">
        <v>969</v>
      </c>
      <c r="C471" s="17" t="s">
        <v>1533</v>
      </c>
      <c r="D471" s="17" t="s">
        <v>1533</v>
      </c>
      <c r="E471" s="17" t="s">
        <v>1534</v>
      </c>
      <c r="F471" s="17" t="s">
        <v>1535</v>
      </c>
    </row>
    <row r="472" customFormat="false" ht="14.25" hidden="false" customHeight="true" outlineLevel="0" collapsed="false">
      <c r="A472" s="17" t="str">
        <f aca="false">VLOOKUP(B472,Feuil1!A:B,2,FALSE())</f>
        <v>District - Résultat final du laboratoire</v>
      </c>
      <c r="B472" s="17" t="s">
        <v>505</v>
      </c>
      <c r="C472" s="17" t="s">
        <v>1385</v>
      </c>
      <c r="D472" s="17" t="s">
        <v>1385</v>
      </c>
      <c r="E472" s="17" t="s">
        <v>1385</v>
      </c>
      <c r="F472" s="17" t="s">
        <v>489</v>
      </c>
    </row>
    <row r="473" customFormat="false" ht="14.25" hidden="false" customHeight="true" outlineLevel="0" collapsed="false">
      <c r="A473" s="17" t="str">
        <f aca="false">VLOOKUP(B473,Feuil1!A:B,2,FALSE())</f>
        <v>District - Sensibilité à la ceftriaxone</v>
      </c>
      <c r="B473" s="17" t="s">
        <v>579</v>
      </c>
      <c r="C473" s="17" t="s">
        <v>419</v>
      </c>
      <c r="D473" s="17" t="s">
        <v>419</v>
      </c>
      <c r="E473" s="17" t="s">
        <v>48</v>
      </c>
      <c r="F473" s="17" t="s">
        <v>49</v>
      </c>
    </row>
    <row r="474" customFormat="false" ht="14.25" hidden="false" customHeight="true" outlineLevel="0" collapsed="false">
      <c r="A474" s="17" t="str">
        <f aca="false">VLOOKUP(B474,Feuil1!A:B,2,FALSE())</f>
        <v>Type d'échantillon</v>
      </c>
      <c r="B474" s="17" t="s">
        <v>529</v>
      </c>
      <c r="C474" s="17" t="s">
        <v>267</v>
      </c>
      <c r="D474" s="17" t="s">
        <v>267</v>
      </c>
      <c r="E474" s="17" t="s">
        <v>267</v>
      </c>
      <c r="F474" s="17" t="s">
        <v>266</v>
      </c>
    </row>
    <row r="475" customFormat="false" ht="14.25" hidden="false" customHeight="true" outlineLevel="0" collapsed="false">
      <c r="A475" s="17" t="e">
        <f aca="false">VLOOKUP(B475,Feuil1!A:B,2,FALSE())</f>
        <v>#N/A</v>
      </c>
      <c r="B475" s="17" t="s">
        <v>997</v>
      </c>
      <c r="C475" s="17" t="s">
        <v>1536</v>
      </c>
      <c r="D475" s="17" t="s">
        <v>1536</v>
      </c>
      <c r="E475" s="17" t="s">
        <v>1536</v>
      </c>
      <c r="F475" s="17" t="s">
        <v>1537</v>
      </c>
    </row>
    <row r="476" customFormat="false" ht="14.25" hidden="false" customHeight="true" outlineLevel="0" collapsed="false">
      <c r="A476" s="17" t="e">
        <f aca="false">VLOOKUP(B476,Feuil1!A:B,2,FALSE())</f>
        <v>#N/A</v>
      </c>
      <c r="B476" s="17" t="s">
        <v>819</v>
      </c>
      <c r="C476" s="17" t="s">
        <v>1538</v>
      </c>
      <c r="D476" s="17" t="s">
        <v>1538</v>
      </c>
      <c r="E476" s="17" t="s">
        <v>1538</v>
      </c>
      <c r="F476" s="17" t="s">
        <v>1539</v>
      </c>
    </row>
    <row r="477" customFormat="false" ht="14.25" hidden="false" customHeight="true" outlineLevel="0" collapsed="false">
      <c r="A477" s="17" t="e">
        <f aca="false">VLOOKUP(B477,Feuil1!A:B,2,FALSE())</f>
        <v>#N/A</v>
      </c>
      <c r="B477" s="17" t="s">
        <v>796</v>
      </c>
      <c r="C477" s="17" t="s">
        <v>1540</v>
      </c>
      <c r="D477" s="17" t="s">
        <v>1540</v>
      </c>
      <c r="E477" s="17" t="s">
        <v>1541</v>
      </c>
      <c r="F477" s="17" t="s">
        <v>1542</v>
      </c>
    </row>
    <row r="478" customFormat="false" ht="14.25" hidden="false" customHeight="true" outlineLevel="0" collapsed="false">
      <c r="A478" s="17" t="str">
        <f aca="false">VLOOKUP(B478,Feuil1!A:B,2,FALSE())</f>
        <v>District - Résultat de l'agglutination du latex</v>
      </c>
      <c r="B478" s="17" t="s">
        <v>551</v>
      </c>
      <c r="C478" s="17" t="s">
        <v>325</v>
      </c>
      <c r="D478" s="17" t="s">
        <v>325</v>
      </c>
      <c r="E478" s="17" t="s">
        <v>1543</v>
      </c>
      <c r="F478" s="17" t="s">
        <v>324</v>
      </c>
    </row>
    <row r="479" customFormat="false" ht="14.25" hidden="false" customHeight="true" outlineLevel="0" collapsed="false">
      <c r="A479" s="17" t="e">
        <f aca="false">VLOOKUP(B479,Feuil1!A:B,2,FALSE())</f>
        <v>#N/A</v>
      </c>
      <c r="B479" s="17" t="s">
        <v>819</v>
      </c>
      <c r="C479" s="17" t="s">
        <v>1544</v>
      </c>
      <c r="D479" s="17" t="s">
        <v>1544</v>
      </c>
      <c r="E479" s="17" t="s">
        <v>1544</v>
      </c>
      <c r="F479" s="17" t="s">
        <v>1545</v>
      </c>
    </row>
    <row r="480" customFormat="false" ht="14.25" hidden="false" customHeight="true" outlineLevel="0" collapsed="false">
      <c r="A480" s="17" t="e">
        <f aca="false">VLOOKUP(B480,Feuil1!A:B,2,FALSE())</f>
        <v>#N/A</v>
      </c>
      <c r="B480" s="17" t="s">
        <v>1044</v>
      </c>
      <c r="C480" s="17" t="s">
        <v>1546</v>
      </c>
      <c r="D480" s="17" t="s">
        <v>1546</v>
      </c>
      <c r="E480" s="17" t="s">
        <v>1546</v>
      </c>
      <c r="F480" s="17" t="s">
        <v>1547</v>
      </c>
    </row>
    <row r="481" customFormat="false" ht="14.25" hidden="false" customHeight="true" outlineLevel="0" collapsed="false">
      <c r="A481" s="17" t="str">
        <f aca="false">VLOOKUP(B481,Feuil1!A:B,2,FALSE())</f>
        <v>Vaccin reçu : Hib</v>
      </c>
      <c r="B481" s="17" t="s">
        <v>665</v>
      </c>
      <c r="C481" s="17" t="s">
        <v>479</v>
      </c>
      <c r="D481" s="17" t="s">
        <v>479</v>
      </c>
      <c r="E481" s="17" t="s">
        <v>479</v>
      </c>
      <c r="F481" s="17" t="s">
        <v>478</v>
      </c>
    </row>
    <row r="482" customFormat="false" ht="14.25" hidden="false" customHeight="true" outlineLevel="0" collapsed="false">
      <c r="A482" s="17" t="e">
        <f aca="false">VLOOKUP(B482,Feuil1!A:B,2,FALSE())</f>
        <v>#N/A</v>
      </c>
      <c r="B482" s="17" t="s">
        <v>1339</v>
      </c>
      <c r="C482" s="17" t="s">
        <v>1548</v>
      </c>
      <c r="D482" s="17" t="s">
        <v>1548</v>
      </c>
      <c r="E482" s="17" t="s">
        <v>1549</v>
      </c>
      <c r="F482" s="17" t="s">
        <v>1550</v>
      </c>
    </row>
    <row r="483" customFormat="false" ht="14.25" hidden="false" customHeight="true" outlineLevel="0" collapsed="false">
      <c r="A483" s="17" t="str">
        <f aca="false">VLOOKUP(B483,Feuil1!A:B,2,FALSE())</f>
        <v>District - sérotype S. pneumoniae</v>
      </c>
      <c r="B483" s="17" t="s">
        <v>545</v>
      </c>
      <c r="C483" s="17" t="n">
        <v>4</v>
      </c>
      <c r="D483" s="17" t="n">
        <v>4</v>
      </c>
      <c r="E483" s="17" t="n">
        <v>4</v>
      </c>
      <c r="F483" s="17" t="s">
        <v>133</v>
      </c>
    </row>
    <row r="484" customFormat="false" ht="14.25" hidden="false" customHeight="true" outlineLevel="0" collapsed="false">
      <c r="A484" s="17" t="str">
        <f aca="false">VLOOKUP(B484,Feuil1!A:B,2,FALSE())</f>
        <v>District - sérotype S. pneumoniae</v>
      </c>
      <c r="B484" s="17" t="s">
        <v>545</v>
      </c>
      <c r="C484" s="17" t="n">
        <v>45</v>
      </c>
      <c r="D484" s="17" t="n">
        <v>45</v>
      </c>
      <c r="E484" s="17" t="n">
        <v>45</v>
      </c>
      <c r="F484" s="17" t="s">
        <v>134</v>
      </c>
    </row>
    <row r="485" customFormat="false" ht="14.25" hidden="false" customHeight="true" outlineLevel="0" collapsed="false">
      <c r="A485" s="17" t="str">
        <f aca="false">VLOOKUP(B485,Feuil1!A:B,2,FALSE())</f>
        <v>District - Nom du laboratoire</v>
      </c>
      <c r="B485" s="17" t="s">
        <v>541</v>
      </c>
      <c r="C485" s="17" t="s">
        <v>174</v>
      </c>
      <c r="D485" s="17" t="s">
        <v>174</v>
      </c>
      <c r="E485" s="17" t="s">
        <v>174</v>
      </c>
      <c r="F485" s="17" t="s">
        <v>173</v>
      </c>
    </row>
    <row r="486" customFormat="false" ht="14.25" hidden="false" customHeight="true" outlineLevel="0" collapsed="false">
      <c r="A486" s="17" t="e">
        <f aca="false">VLOOKUP(B486,Feuil1!A:B,2,FALSE())</f>
        <v>#N/A</v>
      </c>
      <c r="B486" s="17" t="s">
        <v>1358</v>
      </c>
      <c r="C486" s="17" t="s">
        <v>1551</v>
      </c>
      <c r="D486" s="17" t="s">
        <v>1551</v>
      </c>
      <c r="E486" s="17" t="s">
        <v>1551</v>
      </c>
      <c r="F486" s="17" t="s">
        <v>1552</v>
      </c>
    </row>
    <row r="487" customFormat="false" ht="14.25" hidden="false" customHeight="true" outlineLevel="0" collapsed="false">
      <c r="A487" s="17" t="e">
        <f aca="false">VLOOKUP(B487,Feuil1!A:B,2,FALSE())</f>
        <v>#N/A</v>
      </c>
      <c r="B487" s="17" t="s">
        <v>1553</v>
      </c>
      <c r="C487" s="17" t="s">
        <v>1554</v>
      </c>
      <c r="D487" s="17" t="s">
        <v>1554</v>
      </c>
      <c r="E487" s="17" t="s">
        <v>1555</v>
      </c>
      <c r="F487" s="17" t="s">
        <v>1556</v>
      </c>
    </row>
    <row r="488" customFormat="false" ht="14.25" hidden="false" customHeight="true" outlineLevel="0" collapsed="false">
      <c r="A488" s="17" t="e">
        <f aca="false">VLOOKUP(B488,Feuil1!A:B,2,FALSE())</f>
        <v>#N/A</v>
      </c>
      <c r="B488" s="17" t="s">
        <v>776</v>
      </c>
      <c r="C488" s="17" t="s">
        <v>1557</v>
      </c>
      <c r="D488" s="17" t="s">
        <v>1557</v>
      </c>
      <c r="E488" s="17" t="s">
        <v>1558</v>
      </c>
      <c r="F488" s="17" t="s">
        <v>1559</v>
      </c>
    </row>
    <row r="489" customFormat="false" ht="14.25" hidden="false" customHeight="true" outlineLevel="0" collapsed="false">
      <c r="A489" s="17" t="e">
        <f aca="false">VLOOKUP(B489,Feuil1!A:B,2,FALSE())</f>
        <v>#N/A</v>
      </c>
      <c r="B489" s="17" t="s">
        <v>892</v>
      </c>
      <c r="C489" s="17" t="s">
        <v>1169</v>
      </c>
      <c r="D489" s="17" t="s">
        <v>1169</v>
      </c>
      <c r="E489" s="17" t="s">
        <v>1169</v>
      </c>
      <c r="F489" s="17" t="s">
        <v>1560</v>
      </c>
    </row>
    <row r="490" customFormat="false" ht="14.25" hidden="false" customHeight="true" outlineLevel="0" collapsed="false">
      <c r="A490" s="17" t="str">
        <f aca="false">VLOOKUP(B490,Feuil1!A:B,2,FALSE())</f>
        <v>Suivi / niveau laboratoire</v>
      </c>
      <c r="B490" s="17" t="s">
        <v>655</v>
      </c>
      <c r="C490" s="17" t="s">
        <v>295</v>
      </c>
      <c r="D490" s="17" t="s">
        <v>295</v>
      </c>
      <c r="E490" s="17" t="s">
        <v>775</v>
      </c>
      <c r="F490" s="17" t="s">
        <v>294</v>
      </c>
    </row>
    <row r="491" customFormat="false" ht="14.25" hidden="false" customHeight="true" outlineLevel="0" collapsed="false">
      <c r="A491" s="17" t="e">
        <f aca="false">VLOOKUP(B491,Feuil1!A:B,2,FALSE())</f>
        <v>#N/A</v>
      </c>
      <c r="B491" s="17" t="s">
        <v>961</v>
      </c>
      <c r="C491" s="17" t="s">
        <v>1561</v>
      </c>
      <c r="D491" s="17" t="s">
        <v>1561</v>
      </c>
      <c r="E491" s="17" t="s">
        <v>1562</v>
      </c>
      <c r="F491" s="17" t="s">
        <v>1563</v>
      </c>
    </row>
    <row r="492" customFormat="false" ht="14.25" hidden="false" customHeight="true" outlineLevel="0" collapsed="false">
      <c r="A492" s="17" t="e">
        <f aca="false">VLOOKUP(B492,Feuil1!A:B,2,FALSE())</f>
        <v>#N/A</v>
      </c>
      <c r="B492" s="17" t="s">
        <v>1553</v>
      </c>
      <c r="C492" s="17" t="s">
        <v>424</v>
      </c>
      <c r="D492" s="17" t="s">
        <v>424</v>
      </c>
      <c r="E492" s="17" t="s">
        <v>46</v>
      </c>
      <c r="F492" s="17" t="s">
        <v>1564</v>
      </c>
    </row>
    <row r="493" customFormat="false" ht="14.25" hidden="false" customHeight="true" outlineLevel="0" collapsed="false">
      <c r="A493" s="17" t="str">
        <f aca="false">VLOOKUP(B493,Feuil1!A:B,2,FALSE())</f>
        <v>District - Résultat du PCR</v>
      </c>
      <c r="B493" s="17" t="s">
        <v>651</v>
      </c>
      <c r="C493" s="17" t="s">
        <v>328</v>
      </c>
      <c r="D493" s="17" t="s">
        <v>328</v>
      </c>
      <c r="E493" s="17" t="s">
        <v>328</v>
      </c>
      <c r="F493" s="17" t="s">
        <v>327</v>
      </c>
    </row>
    <row r="494" customFormat="false" ht="14.25" hidden="false" customHeight="true" outlineLevel="0" collapsed="false">
      <c r="A494" s="17" t="e">
        <f aca="false">VLOOKUP(B494,Feuil1!A:B,2,FALSE())</f>
        <v>#N/A</v>
      </c>
      <c r="B494" s="17" t="s">
        <v>1044</v>
      </c>
      <c r="C494" s="17" t="s">
        <v>463</v>
      </c>
      <c r="D494" s="17" t="s">
        <v>463</v>
      </c>
      <c r="E494" s="17" t="s">
        <v>463</v>
      </c>
      <c r="F494" s="17" t="s">
        <v>1565</v>
      </c>
    </row>
    <row r="495" customFormat="false" ht="14.25" hidden="false" customHeight="true" outlineLevel="0" collapsed="false">
      <c r="A495" s="17" t="str">
        <f aca="false">VLOOKUP(B495,Feuil1!A:B,2,FALSE())</f>
        <v>District - Résultat final du laboratoire</v>
      </c>
      <c r="B495" s="17" t="s">
        <v>505</v>
      </c>
      <c r="C495" s="17" t="s">
        <v>245</v>
      </c>
      <c r="D495" s="17" t="s">
        <v>245</v>
      </c>
      <c r="E495" s="17" t="s">
        <v>245</v>
      </c>
      <c r="F495" s="17" t="s">
        <v>244</v>
      </c>
    </row>
    <row r="496" customFormat="false" ht="14.25" hidden="false" customHeight="true" outlineLevel="0" collapsed="false">
      <c r="A496" s="17" t="e">
        <f aca="false">VLOOKUP(B496,Feuil1!A:B,2,FALSE())</f>
        <v>#N/A</v>
      </c>
      <c r="B496" s="17" t="s">
        <v>812</v>
      </c>
      <c r="C496" s="17" t="s">
        <v>1566</v>
      </c>
      <c r="D496" s="17" t="s">
        <v>1566</v>
      </c>
      <c r="E496" s="17" t="s">
        <v>1567</v>
      </c>
      <c r="F496" s="17" t="s">
        <v>1568</v>
      </c>
    </row>
    <row r="497" customFormat="false" ht="14.25" hidden="false" customHeight="true" outlineLevel="0" collapsed="false">
      <c r="A497" s="17" t="e">
        <f aca="false">VLOOKUP(B497,Feuil1!A:B,2,FALSE())</f>
        <v>#N/A</v>
      </c>
      <c r="B497" s="17" t="s">
        <v>877</v>
      </c>
      <c r="C497" s="17" t="s">
        <v>1569</v>
      </c>
      <c r="D497" s="17" t="s">
        <v>1569</v>
      </c>
      <c r="E497" s="17" t="s">
        <v>375</v>
      </c>
      <c r="F497" s="17" t="s">
        <v>1570</v>
      </c>
    </row>
    <row r="498" customFormat="false" ht="14.25" hidden="false" customHeight="true" outlineLevel="0" collapsed="false">
      <c r="A498" s="17" t="e">
        <f aca="false">VLOOKUP(B498,Feuil1!A:B,2,FALSE())</f>
        <v>#N/A</v>
      </c>
      <c r="B498" s="17" t="s">
        <v>1259</v>
      </c>
      <c r="C498" s="17" t="s">
        <v>237</v>
      </c>
      <c r="D498" s="17" t="s">
        <v>237</v>
      </c>
      <c r="E498" s="17" t="s">
        <v>237</v>
      </c>
      <c r="F498" s="17" t="s">
        <v>1571</v>
      </c>
    </row>
    <row r="499" customFormat="false" ht="14.25" hidden="false" customHeight="true" outlineLevel="0" collapsed="false">
      <c r="A499" s="17" t="e">
        <f aca="false">VLOOKUP(B499,Feuil1!A:B,2,FALSE())</f>
        <v>#N/A</v>
      </c>
      <c r="B499" s="17" t="s">
        <v>1105</v>
      </c>
      <c r="C499" s="17" t="s">
        <v>1572</v>
      </c>
      <c r="D499" s="17" t="s">
        <v>1572</v>
      </c>
      <c r="E499" s="17" t="s">
        <v>1572</v>
      </c>
      <c r="F499" s="17" t="s">
        <v>1573</v>
      </c>
    </row>
    <row r="500" customFormat="false" ht="14.25" hidden="false" customHeight="true" outlineLevel="0" collapsed="false">
      <c r="A500" s="17" t="e">
        <f aca="false">VLOOKUP(B500,Feuil1!A:B,2,FALSE())</f>
        <v>#N/A</v>
      </c>
      <c r="B500" s="17" t="s">
        <v>1316</v>
      </c>
      <c r="C500" s="17" t="s">
        <v>1301</v>
      </c>
      <c r="D500" s="17" t="s">
        <v>1301</v>
      </c>
      <c r="E500" s="17" t="s">
        <v>1301</v>
      </c>
      <c r="F500" s="17" t="s">
        <v>1574</v>
      </c>
    </row>
    <row r="501" customFormat="false" ht="14.25" hidden="false" customHeight="true" outlineLevel="0" collapsed="false">
      <c r="A501" s="17" t="e">
        <f aca="false">VLOOKUP(B501,Feuil1!A:B,2,FALSE())</f>
        <v>#N/A</v>
      </c>
      <c r="B501" s="17" t="s">
        <v>862</v>
      </c>
      <c r="C501" s="17" t="s">
        <v>1575</v>
      </c>
      <c r="D501" s="17" t="s">
        <v>1575</v>
      </c>
      <c r="E501" s="17" t="s">
        <v>1575</v>
      </c>
      <c r="F501" s="17" t="s">
        <v>1576</v>
      </c>
    </row>
    <row r="502" customFormat="false" ht="14.25" hidden="false" customHeight="true" outlineLevel="0" collapsed="false">
      <c r="A502" s="17" t="str">
        <f aca="false">VLOOKUP(B502,Feuil1!A:B,2,FALSE())</f>
        <v>District - Résultat de l'agglutination du latex</v>
      </c>
      <c r="B502" s="17" t="s">
        <v>551</v>
      </c>
      <c r="C502" s="17" t="s">
        <v>441</v>
      </c>
      <c r="D502" s="17" t="s">
        <v>441</v>
      </c>
      <c r="E502" s="17" t="s">
        <v>441</v>
      </c>
      <c r="F502" s="17" t="s">
        <v>444</v>
      </c>
    </row>
    <row r="503" customFormat="false" ht="14.25" hidden="false" customHeight="true" outlineLevel="0" collapsed="false">
      <c r="A503" s="17" t="e">
        <f aca="false">VLOOKUP(B503,Feuil1!A:B,2,FALSE())</f>
        <v>#N/A</v>
      </c>
      <c r="B503" s="17" t="s">
        <v>776</v>
      </c>
      <c r="C503" s="17" t="s">
        <v>446</v>
      </c>
      <c r="D503" s="17" t="s">
        <v>446</v>
      </c>
      <c r="E503" s="17" t="s">
        <v>1577</v>
      </c>
      <c r="F503" s="17" t="s">
        <v>1578</v>
      </c>
    </row>
    <row r="504" customFormat="false" ht="14.25" hidden="false" customHeight="true" outlineLevel="0" collapsed="false">
      <c r="A504" s="17" t="str">
        <f aca="false">VLOOKUP(B504,Feuil1!A:B,2,FALSE())</f>
        <v>District - Résultat final du laboratoire</v>
      </c>
      <c r="B504" s="17" t="s">
        <v>505</v>
      </c>
      <c r="C504" s="17" t="s">
        <v>463</v>
      </c>
      <c r="D504" s="17" t="s">
        <v>463</v>
      </c>
      <c r="E504" s="17" t="s">
        <v>463</v>
      </c>
      <c r="F504" s="17" t="s">
        <v>465</v>
      </c>
    </row>
    <row r="505" customFormat="false" ht="14.25" hidden="false" customHeight="true" outlineLevel="0" collapsed="false">
      <c r="A505" s="17" t="str">
        <f aca="false">VLOOKUP(B505,Feuil1!A:B,2,FALSE())</f>
        <v>Type d'échantillon</v>
      </c>
      <c r="B505" s="17" t="s">
        <v>529</v>
      </c>
      <c r="C505" s="17" t="s">
        <v>455</v>
      </c>
      <c r="D505" s="17" t="s">
        <v>455</v>
      </c>
      <c r="E505" s="17" t="s">
        <v>1579</v>
      </c>
      <c r="F505" s="17" t="s">
        <v>454</v>
      </c>
    </row>
    <row r="506" customFormat="false" ht="14.25" hidden="false" customHeight="true" outlineLevel="0" collapsed="false">
      <c r="A506" s="17" t="e">
        <f aca="false">VLOOKUP(B506,Feuil1!A:B,2,FALSE())</f>
        <v>#N/A</v>
      </c>
      <c r="B506" s="17" t="s">
        <v>819</v>
      </c>
      <c r="C506" s="17" t="s">
        <v>1580</v>
      </c>
      <c r="D506" s="17" t="s">
        <v>1580</v>
      </c>
      <c r="E506" s="17" t="s">
        <v>1580</v>
      </c>
      <c r="F506" s="17" t="s">
        <v>1581</v>
      </c>
    </row>
    <row r="507" customFormat="false" ht="14.25" hidden="false" customHeight="true" outlineLevel="0" collapsed="false">
      <c r="A507" s="17" t="e">
        <f aca="false">VLOOKUP(B507,Feuil1!A:B,2,FALSE())</f>
        <v>#N/A</v>
      </c>
      <c r="B507" s="17" t="s">
        <v>877</v>
      </c>
      <c r="C507" s="17" t="s">
        <v>1582</v>
      </c>
      <c r="D507" s="17" t="s">
        <v>1582</v>
      </c>
      <c r="E507" s="17" t="s">
        <v>1583</v>
      </c>
      <c r="F507" s="17" t="s">
        <v>1584</v>
      </c>
    </row>
    <row r="508" customFormat="false" ht="14.25" hidden="false" customHeight="true" outlineLevel="0" collapsed="false">
      <c r="A508" s="17" t="str">
        <f aca="false">VLOOKUP(B508,Feuil1!A:B,2,FALSE())</f>
        <v>District - sérotype S. pneumoniae</v>
      </c>
      <c r="B508" s="17" t="s">
        <v>545</v>
      </c>
      <c r="C508" s="17" t="s">
        <v>109</v>
      </c>
      <c r="D508" s="17" t="s">
        <v>109</v>
      </c>
      <c r="E508" s="17" t="s">
        <v>109</v>
      </c>
      <c r="F508" s="17" t="s">
        <v>108</v>
      </c>
    </row>
    <row r="509" customFormat="false" ht="14.25" hidden="false" customHeight="true" outlineLevel="0" collapsed="false">
      <c r="A509" s="17" t="e">
        <f aca="false">VLOOKUP(B509,Feuil1!A:B,2,FALSE())</f>
        <v>#N/A</v>
      </c>
      <c r="B509" s="17" t="s">
        <v>1553</v>
      </c>
      <c r="C509" s="17" t="s">
        <v>382</v>
      </c>
      <c r="D509" s="17" t="s">
        <v>382</v>
      </c>
      <c r="E509" s="17" t="s">
        <v>1014</v>
      </c>
      <c r="F509" s="17" t="s">
        <v>1585</v>
      </c>
    </row>
    <row r="510" customFormat="false" ht="14.25" hidden="false" customHeight="true" outlineLevel="0" collapsed="false">
      <c r="A510" s="17" t="e">
        <f aca="false">VLOOKUP(B510,Feuil1!A:B,2,FALSE())</f>
        <v>#N/A</v>
      </c>
      <c r="B510" s="17" t="s">
        <v>952</v>
      </c>
      <c r="C510" s="17" t="s">
        <v>1586</v>
      </c>
      <c r="D510" s="17" t="s">
        <v>1586</v>
      </c>
      <c r="E510" s="17" t="s">
        <v>1586</v>
      </c>
      <c r="F510" s="17" t="s">
        <v>1587</v>
      </c>
    </row>
    <row r="511" customFormat="false" ht="14.25" hidden="false" customHeight="true" outlineLevel="0" collapsed="false">
      <c r="A511" s="17" t="str">
        <f aca="false">VLOOKUP(B511,Feuil1!A:B,2,FALSE())</f>
        <v>Type d'échantillon</v>
      </c>
      <c r="B511" s="17" t="s">
        <v>529</v>
      </c>
      <c r="C511" s="17" t="s">
        <v>471</v>
      </c>
      <c r="D511" s="17" t="s">
        <v>471</v>
      </c>
      <c r="E511" s="17" t="s">
        <v>1588</v>
      </c>
      <c r="F511" s="17" t="s">
        <v>470</v>
      </c>
    </row>
    <row r="512" customFormat="false" ht="14.25" hidden="false" customHeight="true" outlineLevel="0" collapsed="false">
      <c r="A512" s="17" t="e">
        <f aca="false">VLOOKUP(B512,Feuil1!A:B,2,FALSE())</f>
        <v>#N/A</v>
      </c>
      <c r="B512" s="17" t="s">
        <v>877</v>
      </c>
      <c r="C512" s="17" t="s">
        <v>1589</v>
      </c>
      <c r="D512" s="17" t="s">
        <v>1589</v>
      </c>
      <c r="E512" s="17" t="s">
        <v>1590</v>
      </c>
      <c r="F512" s="17" t="s">
        <v>1591</v>
      </c>
    </row>
    <row r="513" customFormat="false" ht="14.25" hidden="false" customHeight="true" outlineLevel="0" collapsed="false">
      <c r="A513" s="17" t="e">
        <f aca="false">VLOOKUP(B513,Feuil1!A:B,2,FALSE())</f>
        <v>#N/A</v>
      </c>
      <c r="B513" s="17" t="s">
        <v>802</v>
      </c>
      <c r="C513" s="17" t="s">
        <v>1592</v>
      </c>
      <c r="D513" s="17" t="s">
        <v>1592</v>
      </c>
      <c r="E513" s="17" t="s">
        <v>897</v>
      </c>
      <c r="F513" s="17" t="s">
        <v>1593</v>
      </c>
    </row>
    <row r="514" customFormat="false" ht="14.25" hidden="false" customHeight="true" outlineLevel="0" collapsed="false">
      <c r="A514" s="17" t="e">
        <f aca="false">VLOOKUP(B514,Feuil1!A:B,2,FALSE())</f>
        <v>#N/A</v>
      </c>
      <c r="B514" s="17" t="s">
        <v>796</v>
      </c>
      <c r="C514" s="17" t="s">
        <v>987</v>
      </c>
      <c r="D514" s="17" t="s">
        <v>987</v>
      </c>
      <c r="E514" s="17" t="s">
        <v>987</v>
      </c>
      <c r="F514" s="17" t="s">
        <v>1594</v>
      </c>
    </row>
    <row r="515" customFormat="false" ht="14.25" hidden="false" customHeight="true" outlineLevel="0" collapsed="false">
      <c r="A515" s="17" t="str">
        <f aca="false">VLOOKUP(B515,Feuil1!A:B,2,FALSE())</f>
        <v>District - sérotype S. pneumoniae</v>
      </c>
      <c r="B515" s="17" t="s">
        <v>545</v>
      </c>
      <c r="C515" s="17" t="n">
        <v>46</v>
      </c>
      <c r="D515" s="17" t="n">
        <v>46</v>
      </c>
      <c r="E515" s="17" t="n">
        <v>46</v>
      </c>
      <c r="F515" s="17" t="s">
        <v>135</v>
      </c>
    </row>
    <row r="516" customFormat="false" ht="14.25" hidden="false" customHeight="true" outlineLevel="0" collapsed="false">
      <c r="A516" s="17" t="e">
        <f aca="false">VLOOKUP(B516,Feuil1!A:B,2,FALSE())</f>
        <v>#N/A</v>
      </c>
      <c r="B516" s="17" t="s">
        <v>873</v>
      </c>
      <c r="C516" s="17" t="s">
        <v>1595</v>
      </c>
      <c r="D516" s="17" t="s">
        <v>1595</v>
      </c>
      <c r="E516" s="17" t="s">
        <v>1596</v>
      </c>
      <c r="F516" s="17" t="s">
        <v>1597</v>
      </c>
    </row>
    <row r="517" customFormat="false" ht="14.25" hidden="false" customHeight="true" outlineLevel="0" collapsed="false">
      <c r="A517" s="17" t="e">
        <f aca="false">VLOOKUP(B517,Feuil1!A:B,2,FALSE())</f>
        <v>#N/A</v>
      </c>
      <c r="B517" s="17" t="s">
        <v>1190</v>
      </c>
      <c r="C517" s="17" t="s">
        <v>1598</v>
      </c>
      <c r="D517" s="17" t="s">
        <v>1598</v>
      </c>
      <c r="E517" s="17" t="s">
        <v>1598</v>
      </c>
      <c r="F517" s="17" t="s">
        <v>1599</v>
      </c>
    </row>
    <row r="518" customFormat="false" ht="14.25" hidden="false" customHeight="true" outlineLevel="0" collapsed="false">
      <c r="A518" s="17" t="str">
        <f aca="false">VLOOKUP(B518,Feuil1!A:B,2,FALSE())</f>
        <v>District - sérotype S. pneumoniae</v>
      </c>
      <c r="B518" s="17" t="s">
        <v>545</v>
      </c>
      <c r="C518" s="17" t="s">
        <v>385</v>
      </c>
      <c r="D518" s="17" t="s">
        <v>385</v>
      </c>
      <c r="E518" s="17" t="s">
        <v>375</v>
      </c>
      <c r="F518" s="17" t="s">
        <v>384</v>
      </c>
    </row>
    <row r="519" customFormat="false" ht="14.25" hidden="false" customHeight="true" outlineLevel="0" collapsed="false">
      <c r="A519" s="17" t="e">
        <f aca="false">VLOOKUP(B519,Feuil1!A:B,2,FALSE())</f>
        <v>#N/A</v>
      </c>
      <c r="B519" s="17" t="s">
        <v>1553</v>
      </c>
      <c r="C519" s="17" t="s">
        <v>1600</v>
      </c>
      <c r="D519" s="17" t="s">
        <v>1600</v>
      </c>
      <c r="E519" s="17" t="s">
        <v>910</v>
      </c>
      <c r="F519" s="17" t="s">
        <v>1601</v>
      </c>
    </row>
    <row r="520" customFormat="false" ht="14.25" hidden="false" customHeight="true" outlineLevel="0" collapsed="false">
      <c r="A520" s="17" t="e">
        <f aca="false">VLOOKUP(B520,Feuil1!A:B,2,FALSE())</f>
        <v>#N/A</v>
      </c>
      <c r="B520" s="17" t="s">
        <v>1205</v>
      </c>
      <c r="C520" s="17" t="s">
        <v>1602</v>
      </c>
      <c r="D520" s="17" t="s">
        <v>1602</v>
      </c>
      <c r="E520" s="17" t="s">
        <v>1602</v>
      </c>
      <c r="F520" s="17" t="s">
        <v>1603</v>
      </c>
    </row>
    <row r="521" customFormat="false" ht="14.25" hidden="false" customHeight="true" outlineLevel="0" collapsed="false">
      <c r="A521" s="17" t="e">
        <f aca="false">VLOOKUP(B521,Feuil1!A:B,2,FALSE())</f>
        <v>#N/A</v>
      </c>
      <c r="B521" s="17" t="s">
        <v>776</v>
      </c>
      <c r="C521" s="17" t="s">
        <v>1385</v>
      </c>
      <c r="D521" s="17" t="s">
        <v>1385</v>
      </c>
      <c r="E521" s="17" t="s">
        <v>1385</v>
      </c>
      <c r="F521" s="17" t="s">
        <v>1604</v>
      </c>
    </row>
    <row r="522" customFormat="false" ht="14.25" hidden="false" customHeight="true" outlineLevel="0" collapsed="false">
      <c r="A522" s="17" t="e">
        <f aca="false">VLOOKUP(B522,Feuil1!A:B,2,FALSE())</f>
        <v>#N/A</v>
      </c>
      <c r="B522" s="17" t="s">
        <v>1027</v>
      </c>
      <c r="C522" s="17" t="s">
        <v>216</v>
      </c>
      <c r="D522" s="17" t="s">
        <v>216</v>
      </c>
      <c r="E522" s="17" t="s">
        <v>1605</v>
      </c>
      <c r="F522" s="17" t="s">
        <v>1606</v>
      </c>
    </row>
    <row r="523" customFormat="false" ht="14.25" hidden="false" customHeight="true" outlineLevel="0" collapsed="false">
      <c r="A523" s="17" t="e">
        <f aca="false">VLOOKUP(B523,Feuil1!A:B,2,FALSE())</f>
        <v>#N/A</v>
      </c>
      <c r="B523" s="17" t="s">
        <v>841</v>
      </c>
      <c r="C523" s="17" t="s">
        <v>1607</v>
      </c>
      <c r="D523" s="17" t="s">
        <v>1607</v>
      </c>
      <c r="E523" s="17" t="s">
        <v>1607</v>
      </c>
      <c r="F523" s="17" t="s">
        <v>1608</v>
      </c>
    </row>
    <row r="524" customFormat="false" ht="14.25" hidden="false" customHeight="true" outlineLevel="0" collapsed="false">
      <c r="A524" s="17" t="e">
        <f aca="false">VLOOKUP(B524,Feuil1!A:B,2,FALSE())</f>
        <v>#N/A</v>
      </c>
      <c r="B524" s="17" t="s">
        <v>1205</v>
      </c>
      <c r="C524" s="17" t="s">
        <v>1609</v>
      </c>
      <c r="D524" s="17" t="s">
        <v>1609</v>
      </c>
      <c r="E524" s="17" t="s">
        <v>1609</v>
      </c>
      <c r="F524" s="17" t="s">
        <v>1610</v>
      </c>
    </row>
    <row r="525" customFormat="false" ht="14.25" hidden="false" customHeight="true" outlineLevel="0" collapsed="false">
      <c r="A525" s="17" t="str">
        <f aca="false">VLOOKUP(B525,Feuil1!A:B,2,FALSE())</f>
        <v>District - sérotype S. pneumoniae</v>
      </c>
      <c r="B525" s="17" t="s">
        <v>545</v>
      </c>
      <c r="C525" s="17" t="s">
        <v>160</v>
      </c>
      <c r="D525" s="17" t="s">
        <v>160</v>
      </c>
      <c r="E525" s="17" t="s">
        <v>160</v>
      </c>
      <c r="F525" s="17" t="s">
        <v>159</v>
      </c>
    </row>
    <row r="526" customFormat="false" ht="14.25" hidden="false" customHeight="true" outlineLevel="0" collapsed="false">
      <c r="A526" s="17" t="e">
        <f aca="false">VLOOKUP(B526,Feuil1!A:B,2,FALSE())</f>
        <v>#N/A</v>
      </c>
      <c r="B526" s="17" t="s">
        <v>859</v>
      </c>
      <c r="C526" s="17" t="s">
        <v>1611</v>
      </c>
      <c r="D526" s="17" t="s">
        <v>1611</v>
      </c>
      <c r="E526" s="17" t="s">
        <v>1611</v>
      </c>
      <c r="F526" s="17" t="s">
        <v>1612</v>
      </c>
    </row>
    <row r="527" customFormat="false" ht="14.25" hidden="false" customHeight="true" outlineLevel="0" collapsed="false">
      <c r="A527" s="17" t="str">
        <f aca="false">VLOOKUP(B527,Feuil1!A:B,2,FALSE())</f>
        <v>District - Résultat de l'agglutination du latex</v>
      </c>
      <c r="B527" s="17" t="s">
        <v>551</v>
      </c>
      <c r="C527" s="17" t="s">
        <v>328</v>
      </c>
      <c r="D527" s="17" t="s">
        <v>328</v>
      </c>
      <c r="E527" s="17" t="s">
        <v>328</v>
      </c>
      <c r="F527" s="17" t="s">
        <v>329</v>
      </c>
    </row>
    <row r="528" customFormat="false" ht="14.25" hidden="false" customHeight="true" outlineLevel="0" collapsed="false">
      <c r="A528" s="17" t="str">
        <f aca="false">VLOOKUP(B528,Feuil1!A:B,2,FALSE())</f>
        <v>Type d'échantillon</v>
      </c>
      <c r="B528" s="17" t="s">
        <v>529</v>
      </c>
      <c r="C528" s="17" t="s">
        <v>250</v>
      </c>
      <c r="D528" s="17" t="s">
        <v>250</v>
      </c>
      <c r="E528" s="17" t="s">
        <v>1613</v>
      </c>
      <c r="F528" s="17" t="s">
        <v>249</v>
      </c>
    </row>
    <row r="529" customFormat="false" ht="14.25" hidden="false" customHeight="true" outlineLevel="0" collapsed="false">
      <c r="A529" s="17" t="e">
        <f aca="false">VLOOKUP(B529,Feuil1!A:B,2,FALSE())</f>
        <v>#N/A</v>
      </c>
      <c r="B529" s="17" t="s">
        <v>830</v>
      </c>
      <c r="C529" s="17" t="s">
        <v>1580</v>
      </c>
      <c r="D529" s="17" t="s">
        <v>1580</v>
      </c>
      <c r="E529" s="17" t="s">
        <v>1580</v>
      </c>
      <c r="F529" s="17" t="s">
        <v>1614</v>
      </c>
    </row>
    <row r="530" customFormat="false" ht="14.25" hidden="false" customHeight="true" outlineLevel="0" collapsed="false">
      <c r="A530" s="17" t="e">
        <f aca="false">VLOOKUP(B530,Feuil1!A:B,2,FALSE())</f>
        <v>#N/A</v>
      </c>
      <c r="B530" s="17" t="s">
        <v>830</v>
      </c>
      <c r="C530" s="17" t="s">
        <v>1615</v>
      </c>
      <c r="D530" s="17" t="s">
        <v>1615</v>
      </c>
      <c r="E530" s="17" t="s">
        <v>1615</v>
      </c>
      <c r="F530" s="17" t="s">
        <v>1616</v>
      </c>
    </row>
    <row r="531" customFormat="false" ht="14.25" hidden="false" customHeight="true" outlineLevel="0" collapsed="false">
      <c r="A531" s="17" t="str">
        <f aca="false">VLOOKUP(B531,Feuil1!A:B,2,FALSE())</f>
        <v>District - sérotype S. pneumoniae</v>
      </c>
      <c r="B531" s="17" t="s">
        <v>545</v>
      </c>
      <c r="C531" s="17" t="s">
        <v>70</v>
      </c>
      <c r="D531" s="17" t="s">
        <v>70</v>
      </c>
      <c r="E531" s="17" t="s">
        <v>70</v>
      </c>
      <c r="F531" s="17" t="s">
        <v>69</v>
      </c>
    </row>
    <row r="532" customFormat="false" ht="14.25" hidden="false" customHeight="true" outlineLevel="0" collapsed="false">
      <c r="A532" s="17" t="e">
        <f aca="false">VLOOKUP(B532,Feuil1!A:B,2,FALSE())</f>
        <v>#N/A</v>
      </c>
      <c r="B532" s="17" t="s">
        <v>1244</v>
      </c>
      <c r="C532" s="17" t="s">
        <v>1617</v>
      </c>
      <c r="D532" s="17" t="s">
        <v>1617</v>
      </c>
      <c r="E532" s="17" t="s">
        <v>1617</v>
      </c>
      <c r="F532" s="17" t="s">
        <v>1618</v>
      </c>
    </row>
    <row r="533" customFormat="false" ht="14.25" hidden="false" customHeight="true" outlineLevel="0" collapsed="false">
      <c r="A533" s="17" t="e">
        <f aca="false">VLOOKUP(B533,Feuil1!A:B,2,FALSE())</f>
        <v>#N/A</v>
      </c>
      <c r="B533" s="17" t="s">
        <v>1205</v>
      </c>
      <c r="C533" s="17" t="s">
        <v>1619</v>
      </c>
      <c r="D533" s="17" t="s">
        <v>1619</v>
      </c>
      <c r="E533" s="17" t="s">
        <v>1619</v>
      </c>
      <c r="F533" s="17" t="s">
        <v>1620</v>
      </c>
    </row>
    <row r="534" customFormat="false" ht="14.25" hidden="false" customHeight="true" outlineLevel="0" collapsed="false">
      <c r="A534" s="17" t="e">
        <f aca="false">VLOOKUP(B534,Feuil1!A:B,2,FALSE())</f>
        <v>#N/A</v>
      </c>
      <c r="B534" s="17" t="s">
        <v>935</v>
      </c>
      <c r="C534" s="17" t="s">
        <v>1621</v>
      </c>
      <c r="D534" s="17" t="s">
        <v>1621</v>
      </c>
      <c r="E534" s="17" t="s">
        <v>46</v>
      </c>
      <c r="F534" s="17" t="s">
        <v>1622</v>
      </c>
    </row>
    <row r="535" customFormat="false" ht="14.25" hidden="false" customHeight="true" outlineLevel="0" collapsed="false">
      <c r="A535" s="17" t="e">
        <f aca="false">VLOOKUP(B535,Feuil1!A:B,2,FALSE())</f>
        <v>#N/A</v>
      </c>
      <c r="B535" s="17" t="s">
        <v>819</v>
      </c>
      <c r="C535" s="17" t="s">
        <v>1623</v>
      </c>
      <c r="D535" s="17" t="s">
        <v>1623</v>
      </c>
      <c r="E535" s="17" t="s">
        <v>1623</v>
      </c>
      <c r="F535" s="17" t="s">
        <v>1624</v>
      </c>
    </row>
    <row r="536" customFormat="false" ht="14.25" hidden="false" customHeight="true" outlineLevel="0" collapsed="false">
      <c r="A536" s="17" t="e">
        <f aca="false">VLOOKUP(B536,Feuil1!A:B,2,FALSE())</f>
        <v>#N/A</v>
      </c>
      <c r="B536" s="17" t="s">
        <v>1287</v>
      </c>
      <c r="C536" s="17" t="s">
        <v>364</v>
      </c>
      <c r="D536" s="17" t="s">
        <v>364</v>
      </c>
      <c r="E536" s="17" t="s">
        <v>50</v>
      </c>
      <c r="F536" s="17" t="s">
        <v>1625</v>
      </c>
    </row>
    <row r="537" customFormat="false" ht="14.25" hidden="false" customHeight="true" outlineLevel="0" collapsed="false">
      <c r="A537" s="17" t="str">
        <f aca="false">VLOOKUP(B537,Feuil1!A:B,2,FALSE())</f>
        <v>District - Aspect de l'échantillon / examen macroscopique (LCR)</v>
      </c>
      <c r="B537" s="17" t="s">
        <v>595</v>
      </c>
      <c r="C537" s="17" t="s">
        <v>473</v>
      </c>
      <c r="D537" s="17" t="s">
        <v>473</v>
      </c>
      <c r="E537" s="17" t="s">
        <v>473</v>
      </c>
      <c r="F537" s="17" t="s">
        <v>472</v>
      </c>
    </row>
    <row r="538" customFormat="false" ht="14.25" hidden="false" customHeight="true" outlineLevel="0" collapsed="false">
      <c r="A538" s="17" t="e">
        <f aca="false">VLOOKUP(B538,Feuil1!A:B,2,FALSE())</f>
        <v>#N/A</v>
      </c>
      <c r="B538" s="17" t="s">
        <v>931</v>
      </c>
      <c r="C538" s="17" t="s">
        <v>1626</v>
      </c>
      <c r="D538" s="17" t="s">
        <v>1626</v>
      </c>
      <c r="E538" s="17" t="s">
        <v>1626</v>
      </c>
      <c r="F538" s="17" t="s">
        <v>1627</v>
      </c>
    </row>
    <row r="539" customFormat="false" ht="14.25" hidden="false" customHeight="true" outlineLevel="0" collapsed="false">
      <c r="A539" s="17" t="str">
        <f aca="false">VLOOKUP(B539,Feuil1!A:B,2,FALSE())</f>
        <v>District - sérotype S. pneumoniae</v>
      </c>
      <c r="B539" s="17" t="s">
        <v>545</v>
      </c>
      <c r="C539" s="17" t="s">
        <v>107</v>
      </c>
      <c r="D539" s="17" t="s">
        <v>107</v>
      </c>
      <c r="E539" s="17" t="s">
        <v>107</v>
      </c>
      <c r="F539" s="17" t="s">
        <v>106</v>
      </c>
    </row>
    <row r="540" customFormat="false" ht="14.25" hidden="false" customHeight="true" outlineLevel="0" collapsed="false">
      <c r="A540" s="17" t="e">
        <f aca="false">VLOOKUP(B540,Feuil1!A:B,2,FALSE())</f>
        <v>#N/A</v>
      </c>
      <c r="B540" s="17" t="s">
        <v>1027</v>
      </c>
      <c r="C540" s="17" t="s">
        <v>1628</v>
      </c>
      <c r="D540" s="17" t="s">
        <v>1628</v>
      </c>
      <c r="E540" s="17" t="s">
        <v>1629</v>
      </c>
      <c r="F540" s="17" t="s">
        <v>1630</v>
      </c>
    </row>
    <row r="541" customFormat="false" ht="14.25" hidden="false" customHeight="true" outlineLevel="0" collapsed="false">
      <c r="A541" s="17" t="e">
        <f aca="false">VLOOKUP(B541,Feuil1!A:B,2,FALSE())</f>
        <v>#N/A</v>
      </c>
      <c r="B541" s="17" t="s">
        <v>915</v>
      </c>
      <c r="C541" s="17" t="s">
        <v>857</v>
      </c>
      <c r="D541" s="17" t="s">
        <v>857</v>
      </c>
      <c r="E541" s="17" t="s">
        <v>857</v>
      </c>
      <c r="F541" s="17" t="s">
        <v>1631</v>
      </c>
    </row>
    <row r="542" customFormat="false" ht="14.25" hidden="false" customHeight="true" outlineLevel="0" collapsed="false">
      <c r="A542" s="17" t="str">
        <f aca="false">VLOOKUP(B542,Feuil1!A:B,2,FALSE())</f>
        <v>District - Résultat final du laboratoire</v>
      </c>
      <c r="B542" s="17" t="s">
        <v>505</v>
      </c>
      <c r="C542" s="17" t="s">
        <v>237</v>
      </c>
      <c r="D542" s="17" t="s">
        <v>237</v>
      </c>
      <c r="E542" s="17" t="s">
        <v>237</v>
      </c>
      <c r="F542" s="17" t="s">
        <v>236</v>
      </c>
    </row>
    <row r="543" customFormat="false" ht="14.25" hidden="false" customHeight="true" outlineLevel="0" collapsed="false">
      <c r="A543" s="17" t="e">
        <f aca="false">VLOOKUP(B543,Feuil1!A:B,2,FALSE())</f>
        <v>#N/A</v>
      </c>
      <c r="B543" s="17" t="s">
        <v>1205</v>
      </c>
      <c r="C543" s="17" t="s">
        <v>1632</v>
      </c>
      <c r="D543" s="17" t="s">
        <v>1632</v>
      </c>
      <c r="E543" s="17" t="s">
        <v>1632</v>
      </c>
      <c r="F543" s="17" t="s">
        <v>1633</v>
      </c>
    </row>
    <row r="544" customFormat="false" ht="14.25" hidden="false" customHeight="true" outlineLevel="0" collapsed="false">
      <c r="A544" s="17" t="str">
        <f aca="false">VLOOKUP(B544,Feuil1!A:B,2,FALSE())</f>
        <v>District - Nom du laboratoire</v>
      </c>
      <c r="B544" s="17" t="s">
        <v>541</v>
      </c>
      <c r="C544" s="17" t="s">
        <v>278</v>
      </c>
      <c r="D544" s="17" t="s">
        <v>278</v>
      </c>
      <c r="E544" s="17" t="s">
        <v>278</v>
      </c>
      <c r="F544" s="17" t="s">
        <v>277</v>
      </c>
    </row>
    <row r="545" customFormat="false" ht="14.25" hidden="false" customHeight="true" outlineLevel="0" collapsed="false">
      <c r="A545" s="17" t="str">
        <f aca="false">VLOOKUP(B545,Feuil1!A:B,2,FALSE())</f>
        <v>Type d'échantillon</v>
      </c>
      <c r="B545" s="17" t="s">
        <v>529</v>
      </c>
      <c r="C545" s="17" t="s">
        <v>178</v>
      </c>
      <c r="D545" s="17" t="s">
        <v>178</v>
      </c>
      <c r="E545" s="17" t="s">
        <v>178</v>
      </c>
      <c r="F545" s="17" t="s">
        <v>177</v>
      </c>
    </row>
    <row r="546" customFormat="false" ht="14.25" hidden="false" customHeight="true" outlineLevel="0" collapsed="false">
      <c r="A546" s="17" t="e">
        <f aca="false">VLOOKUP(B546,Feuil1!A:B,2,FALSE())</f>
        <v>#N/A</v>
      </c>
      <c r="B546" s="17" t="s">
        <v>806</v>
      </c>
      <c r="C546" s="17" t="s">
        <v>375</v>
      </c>
      <c r="D546" s="17" t="s">
        <v>375</v>
      </c>
      <c r="E546" s="17" t="s">
        <v>375</v>
      </c>
      <c r="F546" s="17" t="s">
        <v>1634</v>
      </c>
    </row>
    <row r="547" customFormat="false" ht="14.25" hidden="false" customHeight="true" outlineLevel="0" collapsed="false">
      <c r="A547" s="17" t="e">
        <f aca="false">VLOOKUP(B547,Feuil1!A:B,2,FALSE())</f>
        <v>#N/A</v>
      </c>
      <c r="B547" s="17" t="s">
        <v>796</v>
      </c>
      <c r="C547" s="17" t="s">
        <v>1635</v>
      </c>
      <c r="D547" s="17" t="s">
        <v>1635</v>
      </c>
      <c r="E547" s="17" t="s">
        <v>1636</v>
      </c>
      <c r="F547" s="17" t="s">
        <v>1637</v>
      </c>
    </row>
    <row r="548" customFormat="false" ht="14.25" hidden="false" customHeight="true" outlineLevel="0" collapsed="false">
      <c r="A548" s="17" t="e">
        <f aca="false">VLOOKUP(B548,Feuil1!A:B,2,FALSE())</f>
        <v>#N/A</v>
      </c>
      <c r="B548" s="17" t="s">
        <v>1553</v>
      </c>
      <c r="C548" s="17" t="s">
        <v>1638</v>
      </c>
      <c r="D548" s="17" t="s">
        <v>1638</v>
      </c>
      <c r="E548" s="17" t="s">
        <v>50</v>
      </c>
      <c r="F548" s="17" t="s">
        <v>1639</v>
      </c>
    </row>
    <row r="549" customFormat="false" ht="14.25" hidden="false" customHeight="true" outlineLevel="0" collapsed="false">
      <c r="A549" s="17" t="e">
        <f aca="false">VLOOKUP(B549,Feuil1!A:B,2,FALSE())</f>
        <v>#N/A</v>
      </c>
      <c r="B549" s="17" t="s">
        <v>776</v>
      </c>
      <c r="C549" s="17" t="s">
        <v>1640</v>
      </c>
      <c r="D549" s="17" t="s">
        <v>1640</v>
      </c>
      <c r="E549" s="17" t="s">
        <v>1641</v>
      </c>
      <c r="F549" s="17" t="s">
        <v>1642</v>
      </c>
    </row>
    <row r="550" customFormat="false" ht="14.25" hidden="false" customHeight="true" outlineLevel="0" collapsed="false">
      <c r="A550" s="17" t="e">
        <f aca="false">VLOOKUP(B550,Feuil1!A:B,2,FALSE())</f>
        <v>#N/A</v>
      </c>
      <c r="B550" s="17" t="s">
        <v>992</v>
      </c>
      <c r="C550" s="17" t="s">
        <v>1643</v>
      </c>
      <c r="D550" s="17" t="s">
        <v>1643</v>
      </c>
      <c r="E550" s="17" t="s">
        <v>1643</v>
      </c>
      <c r="F550" s="17" t="s">
        <v>1644</v>
      </c>
    </row>
    <row r="551" customFormat="false" ht="14.25" hidden="false" customHeight="true" outlineLevel="0" collapsed="false">
      <c r="A551" s="17" t="str">
        <f aca="false">VLOOKUP(B551,Feuil1!A:B,2,FALSE())</f>
        <v>Altération de la conscience</v>
      </c>
      <c r="B551" s="17" t="s">
        <v>549</v>
      </c>
      <c r="C551" s="17" t="s">
        <v>388</v>
      </c>
      <c r="D551" s="17" t="s">
        <v>388</v>
      </c>
      <c r="E551" s="17" t="s">
        <v>1645</v>
      </c>
      <c r="F551" s="17" t="s">
        <v>387</v>
      </c>
    </row>
    <row r="552" customFormat="false" ht="14.25" hidden="false" customHeight="true" outlineLevel="0" collapsed="false">
      <c r="A552" s="17" t="e">
        <f aca="false">VLOOKUP(B552,Feuil1!A:B,2,FALSE())</f>
        <v>#N/A</v>
      </c>
      <c r="B552" s="17" t="s">
        <v>1328</v>
      </c>
      <c r="C552" s="17" t="n">
        <v>3</v>
      </c>
      <c r="D552" s="17" t="n">
        <v>3</v>
      </c>
      <c r="E552" s="17" t="n">
        <v>3</v>
      </c>
      <c r="F552" s="17" t="s">
        <v>1646</v>
      </c>
    </row>
    <row r="553" customFormat="false" ht="14.25" hidden="false" customHeight="true" outlineLevel="0" collapsed="false">
      <c r="A553" s="17" t="str">
        <f aca="false">VLOOKUP(B553,Feuil1!A:B,2,FALSE())</f>
        <v>District - Résultat final du laboratoire</v>
      </c>
      <c r="B553" s="17" t="s">
        <v>505</v>
      </c>
      <c r="C553" s="17" t="s">
        <v>424</v>
      </c>
      <c r="D553" s="17" t="s">
        <v>424</v>
      </c>
      <c r="E553" s="17" t="s">
        <v>929</v>
      </c>
      <c r="F553" s="17" t="s">
        <v>423</v>
      </c>
    </row>
    <row r="554" customFormat="false" ht="14.25" hidden="false" customHeight="true" outlineLevel="0" collapsed="false">
      <c r="A554" s="17" t="e">
        <f aca="false">VLOOKUP(B554,Feuil1!A:B,2,FALSE())</f>
        <v>#N/A</v>
      </c>
      <c r="B554" s="17" t="s">
        <v>1105</v>
      </c>
      <c r="C554" s="17" t="s">
        <v>1647</v>
      </c>
      <c r="D554" s="17" t="s">
        <v>1647</v>
      </c>
      <c r="E554" s="17" t="s">
        <v>1647</v>
      </c>
      <c r="F554" s="17" t="s">
        <v>1648</v>
      </c>
    </row>
    <row r="555" customFormat="false" ht="14.25" hidden="false" customHeight="true" outlineLevel="0" collapsed="false">
      <c r="A555" s="17" t="e">
        <f aca="false">VLOOKUP(B555,Feuil1!A:B,2,FALSE())</f>
        <v>#N/A</v>
      </c>
      <c r="B555" s="17" t="s">
        <v>812</v>
      </c>
      <c r="C555" s="17" t="s">
        <v>1649</v>
      </c>
      <c r="D555" s="17" t="s">
        <v>1649</v>
      </c>
      <c r="E555" s="17" t="s">
        <v>46</v>
      </c>
      <c r="F555" s="17" t="s">
        <v>1650</v>
      </c>
    </row>
    <row r="556" customFormat="false" ht="14.25" hidden="false" customHeight="true" outlineLevel="0" collapsed="false">
      <c r="A556" s="17" t="str">
        <f aca="false">VLOOKUP(B556,Feuil1!A:B,2,FALSE())</f>
        <v>District - sérotype S. pneumoniae</v>
      </c>
      <c r="B556" s="17" t="s">
        <v>545</v>
      </c>
      <c r="C556" s="17" t="s">
        <v>68</v>
      </c>
      <c r="D556" s="17" t="s">
        <v>68</v>
      </c>
      <c r="E556" s="17" t="s">
        <v>68</v>
      </c>
      <c r="F556" s="17" t="s">
        <v>67</v>
      </c>
    </row>
    <row r="557" customFormat="false" ht="14.25" hidden="false" customHeight="true" outlineLevel="0" collapsed="false">
      <c r="A557" s="17" t="e">
        <f aca="false">VLOOKUP(B557,Feuil1!A:B,2,FALSE())</f>
        <v>#N/A</v>
      </c>
      <c r="B557" s="17" t="s">
        <v>873</v>
      </c>
      <c r="C557" s="17" t="s">
        <v>1651</v>
      </c>
      <c r="D557" s="17" t="s">
        <v>1651</v>
      </c>
      <c r="E557" s="17" t="s">
        <v>1629</v>
      </c>
      <c r="F557" s="17" t="s">
        <v>1652</v>
      </c>
    </row>
    <row r="558" customFormat="false" ht="14.25" hidden="false" customHeight="true" outlineLevel="0" collapsed="false">
      <c r="A558" s="17" t="e">
        <f aca="false">VLOOKUP(B558,Feuil1!A:B,2,FALSE())</f>
        <v>#N/A</v>
      </c>
      <c r="B558" s="17" t="s">
        <v>915</v>
      </c>
      <c r="C558" s="17" t="s">
        <v>358</v>
      </c>
      <c r="D558" s="17" t="s">
        <v>358</v>
      </c>
      <c r="E558" s="17" t="s">
        <v>934</v>
      </c>
      <c r="F558" s="17" t="s">
        <v>1653</v>
      </c>
    </row>
    <row r="559" customFormat="false" ht="14.25" hidden="false" customHeight="true" outlineLevel="0" collapsed="false">
      <c r="A559" s="17" t="str">
        <f aca="false">VLOOKUP(B559,Feuil1!A:B,2,FALSE())</f>
        <v>District - Nom du laboratoire</v>
      </c>
      <c r="B559" s="17" t="s">
        <v>541</v>
      </c>
      <c r="C559" s="17" t="s">
        <v>280</v>
      </c>
      <c r="D559" s="17" t="s">
        <v>280</v>
      </c>
      <c r="E559" s="17" t="s">
        <v>280</v>
      </c>
      <c r="F559" s="17" t="s">
        <v>279</v>
      </c>
    </row>
    <row r="560" customFormat="false" ht="14.25" hidden="false" customHeight="true" outlineLevel="0" collapsed="false">
      <c r="A560" s="17" t="str">
        <f aca="false">VLOOKUP(B560,Feuil1!A:B,2,FALSE())</f>
        <v>Type d'échantillon</v>
      </c>
      <c r="B560" s="17" t="s">
        <v>529</v>
      </c>
      <c r="C560" s="17" t="s">
        <v>438</v>
      </c>
      <c r="D560" s="17" t="s">
        <v>438</v>
      </c>
      <c r="E560" s="17" t="s">
        <v>438</v>
      </c>
      <c r="F560" s="17" t="s">
        <v>437</v>
      </c>
    </row>
    <row r="561" customFormat="false" ht="14.25" hidden="false" customHeight="true" outlineLevel="0" collapsed="false">
      <c r="A561" s="17" t="str">
        <f aca="false">VLOOKUP(B561,Feuil1!A:B,2,FALSE())</f>
        <v>Suivi / niveau laboratoire</v>
      </c>
      <c r="B561" s="17" t="s">
        <v>655</v>
      </c>
      <c r="C561" s="17" t="s">
        <v>248</v>
      </c>
      <c r="D561" s="17" t="s">
        <v>248</v>
      </c>
      <c r="E561" s="17" t="s">
        <v>248</v>
      </c>
      <c r="F561" s="17" t="s">
        <v>247</v>
      </c>
    </row>
    <row r="562" customFormat="false" ht="14.25" hidden="false" customHeight="true" outlineLevel="0" collapsed="false">
      <c r="A562" s="17" t="str">
        <f aca="false">VLOOKUP(B562,Feuil1!A:B,2,FALSE())</f>
        <v>Devenir du patient</v>
      </c>
      <c r="B562" s="17" t="s">
        <v>503</v>
      </c>
      <c r="C562" s="17" t="s">
        <v>239</v>
      </c>
      <c r="D562" s="17" t="s">
        <v>239</v>
      </c>
      <c r="E562" s="17" t="s">
        <v>239</v>
      </c>
      <c r="F562" s="17" t="s">
        <v>238</v>
      </c>
    </row>
    <row r="563" customFormat="false" ht="14.25" hidden="false" customHeight="true" outlineLevel="0" collapsed="false">
      <c r="A563" s="17" t="str">
        <f aca="false">VLOOKUP(B563,Feuil1!A:B,2,FALSE())</f>
        <v>District - Résultat final du laboratoire</v>
      </c>
      <c r="B563" s="17" t="s">
        <v>505</v>
      </c>
      <c r="C563" s="17" t="s">
        <v>441</v>
      </c>
      <c r="D563" s="17" t="s">
        <v>441</v>
      </c>
      <c r="E563" s="17" t="s">
        <v>46</v>
      </c>
      <c r="F563" s="17" t="s">
        <v>440</v>
      </c>
    </row>
    <row r="564" customFormat="false" ht="14.25" hidden="false" customHeight="true" outlineLevel="0" collapsed="false">
      <c r="A564" s="17" t="e">
        <f aca="false">VLOOKUP(B564,Feuil1!A:B,2,FALSE())</f>
        <v>#N/A</v>
      </c>
      <c r="B564" s="17" t="s">
        <v>1553</v>
      </c>
      <c r="C564" s="17" t="s">
        <v>987</v>
      </c>
      <c r="D564" s="17" t="s">
        <v>987</v>
      </c>
      <c r="E564" s="17" t="s">
        <v>52</v>
      </c>
      <c r="F564" s="17" t="s">
        <v>1654</v>
      </c>
    </row>
    <row r="565" customFormat="false" ht="14.25" hidden="false" customHeight="true" outlineLevel="0" collapsed="false">
      <c r="A565" s="17" t="e">
        <f aca="false">VLOOKUP(B565,Feuil1!A:B,2,FALSE())</f>
        <v>#N/A</v>
      </c>
      <c r="B565" s="17" t="s">
        <v>1287</v>
      </c>
      <c r="C565" s="17" t="s">
        <v>1413</v>
      </c>
      <c r="D565" s="17" t="s">
        <v>1413</v>
      </c>
      <c r="E565" s="17" t="s">
        <v>910</v>
      </c>
      <c r="F565" s="17" t="s">
        <v>1655</v>
      </c>
    </row>
    <row r="566" customFormat="false" ht="14.25" hidden="false" customHeight="true" outlineLevel="0" collapsed="false">
      <c r="A566" s="17" t="e">
        <f aca="false">VLOOKUP(B566,Feuil1!A:B,2,FALSE())</f>
        <v>#N/A</v>
      </c>
      <c r="B566" s="17" t="s">
        <v>1259</v>
      </c>
      <c r="C566" s="17" t="s">
        <v>1656</v>
      </c>
      <c r="D566" s="17" t="s">
        <v>1656</v>
      </c>
      <c r="E566" s="17" t="s">
        <v>1657</v>
      </c>
      <c r="F566" s="17" t="s">
        <v>1658</v>
      </c>
    </row>
    <row r="567" customFormat="false" ht="14.25" hidden="false" customHeight="true" outlineLevel="0" collapsed="false">
      <c r="A567" s="17" t="str">
        <f aca="false">VLOOKUP(B567,Feuil1!A:B,2,FALSE())</f>
        <v>District - Sensibilité à la ceftriaxone</v>
      </c>
      <c r="B567" s="17" t="s">
        <v>579</v>
      </c>
      <c r="C567" s="17" t="s">
        <v>364</v>
      </c>
      <c r="D567" s="17" t="s">
        <v>364</v>
      </c>
      <c r="E567" s="17" t="s">
        <v>50</v>
      </c>
      <c r="F567" s="17" t="s">
        <v>51</v>
      </c>
    </row>
    <row r="568" customFormat="false" ht="14.25" hidden="false" customHeight="true" outlineLevel="0" collapsed="false">
      <c r="A568" s="17" t="str">
        <f aca="false">VLOOKUP(B568,Feuil1!A:B,2,FALSE())</f>
        <v>District - sérotype S. pneumoniae</v>
      </c>
      <c r="B568" s="17" t="s">
        <v>545</v>
      </c>
      <c r="C568" s="17" t="s">
        <v>151</v>
      </c>
      <c r="D568" s="17" t="s">
        <v>151</v>
      </c>
      <c r="E568" s="17" t="s">
        <v>151</v>
      </c>
      <c r="F568" s="17" t="s">
        <v>150</v>
      </c>
    </row>
    <row r="569" customFormat="false" ht="14.25" hidden="false" customHeight="true" outlineLevel="0" collapsed="false">
      <c r="A569" s="17" t="e">
        <f aca="false">VLOOKUP(B569,Feuil1!A:B,2,FALSE())</f>
        <v>#N/A</v>
      </c>
      <c r="B569" s="17" t="s">
        <v>1044</v>
      </c>
      <c r="C569" s="17" t="s">
        <v>1659</v>
      </c>
      <c r="D569" s="17" t="s">
        <v>1659</v>
      </c>
      <c r="E569" s="17" t="s">
        <v>1659</v>
      </c>
      <c r="F569" s="17" t="s">
        <v>1660</v>
      </c>
    </row>
    <row r="570" customFormat="false" ht="14.25" hidden="false" customHeight="true" outlineLevel="0" collapsed="false">
      <c r="A570" s="17" t="e">
        <f aca="false">VLOOKUP(B570,Feuil1!A:B,2,FALSE())</f>
        <v>#N/A</v>
      </c>
      <c r="B570" s="17" t="s">
        <v>825</v>
      </c>
      <c r="C570" s="17" t="s">
        <v>485</v>
      </c>
      <c r="D570" s="17" t="s">
        <v>485</v>
      </c>
      <c r="E570" s="17" t="s">
        <v>485</v>
      </c>
      <c r="F570" s="17" t="s">
        <v>1661</v>
      </c>
    </row>
    <row r="571" customFormat="false" ht="14.25" hidden="false" customHeight="true" outlineLevel="0" collapsed="false">
      <c r="A571" s="17" t="e">
        <f aca="false">VLOOKUP(B571,Feuil1!A:B,2,FALSE())</f>
        <v>#N/A</v>
      </c>
      <c r="B571" s="17" t="s">
        <v>931</v>
      </c>
      <c r="C571" s="17" t="s">
        <v>1662</v>
      </c>
      <c r="D571" s="17" t="s">
        <v>1662</v>
      </c>
      <c r="E571" s="17" t="s">
        <v>1662</v>
      </c>
      <c r="F571" s="17" t="s">
        <v>1663</v>
      </c>
    </row>
    <row r="572" customFormat="false" ht="14.25" hidden="false" customHeight="true" outlineLevel="0" collapsed="false">
      <c r="A572" s="17" t="e">
        <f aca="false">VLOOKUP(B572,Feuil1!A:B,2,FALSE())</f>
        <v>#N/A</v>
      </c>
      <c r="B572" s="17" t="s">
        <v>955</v>
      </c>
      <c r="C572" s="17" t="s">
        <v>1664</v>
      </c>
      <c r="D572" s="17" t="s">
        <v>1664</v>
      </c>
      <c r="E572" s="17" t="s">
        <v>1664</v>
      </c>
      <c r="F572" s="17" t="s">
        <v>1665</v>
      </c>
    </row>
    <row r="573" customFormat="false" ht="14.25" hidden="false" customHeight="true" outlineLevel="0" collapsed="false">
      <c r="A573" s="17" t="e">
        <f aca="false">VLOOKUP(B573,Feuil1!A:B,2,FALSE())</f>
        <v>#N/A</v>
      </c>
      <c r="B573" s="17" t="s">
        <v>892</v>
      </c>
      <c r="C573" s="17" t="s">
        <v>1666</v>
      </c>
      <c r="D573" s="17" t="s">
        <v>1666</v>
      </c>
      <c r="E573" s="17" t="s">
        <v>1666</v>
      </c>
      <c r="F573" s="17" t="s">
        <v>1667</v>
      </c>
    </row>
    <row r="574" customFormat="false" ht="14.25" hidden="false" customHeight="true" outlineLevel="0" collapsed="false">
      <c r="A574" s="17" t="str">
        <f aca="false">VLOOKUP(B574,Feuil1!A:B,2,FALSE())</f>
        <v>District - sérotype S. pneumoniae</v>
      </c>
      <c r="B574" s="17" t="s">
        <v>545</v>
      </c>
      <c r="C574" s="17" t="s">
        <v>94</v>
      </c>
      <c r="D574" s="17" t="s">
        <v>94</v>
      </c>
      <c r="E574" s="17" t="s">
        <v>94</v>
      </c>
      <c r="F574" s="17" t="s">
        <v>93</v>
      </c>
    </row>
    <row r="575" customFormat="false" ht="14.25" hidden="false" customHeight="true" outlineLevel="0" collapsed="false">
      <c r="A575" s="17" t="e">
        <f aca="false">VLOOKUP(B575,Feuil1!A:B,2,FALSE())</f>
        <v>#N/A</v>
      </c>
      <c r="B575" s="17" t="s">
        <v>892</v>
      </c>
      <c r="C575" s="17" t="s">
        <v>1668</v>
      </c>
      <c r="D575" s="17" t="s">
        <v>1668</v>
      </c>
      <c r="E575" s="17" t="s">
        <v>1668</v>
      </c>
      <c r="F575" s="17" t="s">
        <v>1669</v>
      </c>
    </row>
    <row r="576" customFormat="false" ht="14.25" hidden="false" customHeight="true" outlineLevel="0" collapsed="false">
      <c r="A576" s="17" t="e">
        <f aca="false">VLOOKUP(B576,Feuil1!A:B,2,FALSE())</f>
        <v>#N/A</v>
      </c>
      <c r="B576" s="17" t="s">
        <v>1027</v>
      </c>
      <c r="C576" s="17" t="s">
        <v>1670</v>
      </c>
      <c r="D576" s="17" t="s">
        <v>1670</v>
      </c>
      <c r="E576" s="17" t="s">
        <v>1075</v>
      </c>
      <c r="F576" s="17" t="s">
        <v>1671</v>
      </c>
    </row>
    <row r="577" customFormat="false" ht="14.25" hidden="false" customHeight="true" outlineLevel="0" collapsed="false">
      <c r="A577" s="17" t="e">
        <f aca="false">VLOOKUP(B577,Feuil1!A:B,2,FALSE())</f>
        <v>#N/A</v>
      </c>
      <c r="B577" s="17" t="s">
        <v>952</v>
      </c>
      <c r="C577" s="17" t="s">
        <v>364</v>
      </c>
      <c r="D577" s="17" t="s">
        <v>364</v>
      </c>
      <c r="E577" s="17" t="s">
        <v>364</v>
      </c>
      <c r="F577" s="17" t="s">
        <v>1672</v>
      </c>
    </row>
    <row r="578" customFormat="false" ht="14.25" hidden="false" customHeight="true" outlineLevel="0" collapsed="false">
      <c r="A578" s="17" t="e">
        <f aca="false">VLOOKUP(B578,Feuil1!A:B,2,FALSE())</f>
        <v>#N/A</v>
      </c>
      <c r="B578" s="17" t="s">
        <v>776</v>
      </c>
      <c r="C578" s="17" t="s">
        <v>406</v>
      </c>
      <c r="D578" s="17" t="s">
        <v>406</v>
      </c>
      <c r="E578" s="17" t="s">
        <v>814</v>
      </c>
      <c r="F578" s="17" t="s">
        <v>1673</v>
      </c>
    </row>
    <row r="579" customFormat="false" ht="14.25" hidden="false" customHeight="true" outlineLevel="0" collapsed="false">
      <c r="A579" s="17" t="str">
        <f aca="false">VLOOKUP(B579,Feuil1!A:B,2,FALSE())</f>
        <v>Devenir du patient</v>
      </c>
      <c r="B579" s="17" t="s">
        <v>503</v>
      </c>
      <c r="C579" s="17" t="s">
        <v>458</v>
      </c>
      <c r="D579" s="17" t="s">
        <v>458</v>
      </c>
      <c r="E579" s="17" t="s">
        <v>458</v>
      </c>
      <c r="F579" s="17" t="s">
        <v>457</v>
      </c>
    </row>
    <row r="580" customFormat="false" ht="14.25" hidden="false" customHeight="true" outlineLevel="0" collapsed="false">
      <c r="A580" s="17" t="e">
        <f aca="false">VLOOKUP(B580,Feuil1!A:B,2,FALSE())</f>
        <v>#N/A</v>
      </c>
      <c r="B580" s="17" t="s">
        <v>958</v>
      </c>
      <c r="C580" s="17" t="s">
        <v>1674</v>
      </c>
      <c r="D580" s="17" t="s">
        <v>1674</v>
      </c>
      <c r="E580" s="17" t="s">
        <v>1674</v>
      </c>
      <c r="F580" s="17" t="s">
        <v>1675</v>
      </c>
    </row>
    <row r="581" customFormat="false" ht="14.25" hidden="false" customHeight="true" outlineLevel="0" collapsed="false">
      <c r="A581" s="17" t="e">
        <f aca="false">VLOOKUP(B581,Feuil1!A:B,2,FALSE())</f>
        <v>#N/A</v>
      </c>
      <c r="B581" s="17" t="s">
        <v>851</v>
      </c>
      <c r="C581" s="17" t="s">
        <v>1676</v>
      </c>
      <c r="D581" s="17" t="s">
        <v>1676</v>
      </c>
      <c r="E581" s="17" t="s">
        <v>1676</v>
      </c>
      <c r="F581" s="17" t="s">
        <v>1677</v>
      </c>
    </row>
    <row r="582" customFormat="false" ht="14.25" hidden="false" customHeight="true" outlineLevel="0" collapsed="false">
      <c r="A582" s="17" t="e">
        <f aca="false">VLOOKUP(B582,Feuil1!A:B,2,FALSE())</f>
        <v>#N/A</v>
      </c>
      <c r="B582" s="17" t="s">
        <v>1177</v>
      </c>
      <c r="C582" s="17" t="s">
        <v>1678</v>
      </c>
      <c r="D582" s="17" t="s">
        <v>1678</v>
      </c>
      <c r="E582" s="17" t="s">
        <v>1679</v>
      </c>
      <c r="F582" s="17" t="s">
        <v>1680</v>
      </c>
    </row>
    <row r="583" customFormat="false" ht="14.25" hidden="false" customHeight="true" outlineLevel="0" collapsed="false">
      <c r="A583" s="17" t="e">
        <f aca="false">VLOOKUP(B583,Feuil1!A:B,2,FALSE())</f>
        <v>#N/A</v>
      </c>
      <c r="B583" s="17" t="s">
        <v>1479</v>
      </c>
      <c r="C583" s="17" t="s">
        <v>172</v>
      </c>
      <c r="D583" s="17" t="s">
        <v>172</v>
      </c>
      <c r="E583" s="17" t="s">
        <v>172</v>
      </c>
      <c r="F583" s="17" t="s">
        <v>1681</v>
      </c>
    </row>
    <row r="584" customFormat="false" ht="14.25" hidden="false" customHeight="true" outlineLevel="0" collapsed="false">
      <c r="A584" s="17" t="e">
        <f aca="false">VLOOKUP(B584,Feuil1!A:B,2,FALSE())</f>
        <v>#N/A</v>
      </c>
      <c r="B584" s="17" t="s">
        <v>952</v>
      </c>
      <c r="C584" s="17" t="s">
        <v>1682</v>
      </c>
      <c r="D584" s="17" t="s">
        <v>1682</v>
      </c>
      <c r="E584" s="17" t="s">
        <v>1682</v>
      </c>
      <c r="F584" s="17" t="s">
        <v>1683</v>
      </c>
    </row>
    <row r="585" customFormat="false" ht="14.25" hidden="false" customHeight="true" outlineLevel="0" collapsed="false">
      <c r="A585" s="17" t="e">
        <f aca="false">VLOOKUP(B585,Feuil1!A:B,2,FALSE())</f>
        <v>#N/A</v>
      </c>
      <c r="B585" s="17" t="s">
        <v>848</v>
      </c>
      <c r="C585" s="17" t="s">
        <v>1684</v>
      </c>
      <c r="D585" s="17" t="s">
        <v>1684</v>
      </c>
      <c r="E585" s="17" t="s">
        <v>403</v>
      </c>
      <c r="F585" s="17" t="s">
        <v>1685</v>
      </c>
    </row>
    <row r="586" customFormat="false" ht="14.25" hidden="false" customHeight="true" outlineLevel="0" collapsed="false">
      <c r="A586" s="17" t="e">
        <f aca="false">VLOOKUP(B586,Feuil1!A:B,2,FALSE())</f>
        <v>#N/A</v>
      </c>
      <c r="B586" s="17" t="s">
        <v>1099</v>
      </c>
      <c r="C586" s="17" t="s">
        <v>847</v>
      </c>
      <c r="D586" s="17" t="s">
        <v>847</v>
      </c>
      <c r="E586" s="17" t="s">
        <v>847</v>
      </c>
      <c r="F586" s="17" t="s">
        <v>1686</v>
      </c>
    </row>
    <row r="587" customFormat="false" ht="14.25" hidden="false" customHeight="true" outlineLevel="0" collapsed="false">
      <c r="A587" s="17" t="str">
        <f aca="false">VLOOKUP(B587,Feuil1!A:B,2,FALSE())</f>
        <v>District - Résultat final du laboratoire</v>
      </c>
      <c r="B587" s="17" t="s">
        <v>505</v>
      </c>
      <c r="C587" s="17" t="s">
        <v>342</v>
      </c>
      <c r="D587" s="17" t="s">
        <v>342</v>
      </c>
      <c r="E587" s="17" t="s">
        <v>342</v>
      </c>
      <c r="F587" s="17" t="s">
        <v>343</v>
      </c>
    </row>
    <row r="588" customFormat="false" ht="14.25" hidden="false" customHeight="true" outlineLevel="0" collapsed="false">
      <c r="A588" s="17" t="str">
        <f aca="false">VLOOKUP(B588,Feuil1!A:B,2,FALSE())</f>
        <v>District - Résultat final du laboratoire</v>
      </c>
      <c r="B588" s="17" t="s">
        <v>505</v>
      </c>
      <c r="C588" s="17" t="s">
        <v>282</v>
      </c>
      <c r="D588" s="17" t="s">
        <v>282</v>
      </c>
      <c r="E588" s="17" t="s">
        <v>1687</v>
      </c>
      <c r="F588" s="17" t="s">
        <v>281</v>
      </c>
    </row>
    <row r="589" customFormat="false" ht="14.25" hidden="false" customHeight="true" outlineLevel="0" collapsed="false">
      <c r="A589" s="17" t="str">
        <f aca="false">VLOOKUP(B589,Feuil1!A:B,2,FALSE())</f>
        <v>District - Sensibilité à la ceftriaxone</v>
      </c>
      <c r="B589" s="17" t="s">
        <v>579</v>
      </c>
      <c r="C589" s="17" t="s">
        <v>292</v>
      </c>
      <c r="D589" s="17" t="s">
        <v>292</v>
      </c>
      <c r="E589" s="17" t="s">
        <v>52</v>
      </c>
      <c r="F589" s="17" t="s">
        <v>53</v>
      </c>
    </row>
    <row r="590" customFormat="false" ht="14.25" hidden="false" customHeight="true" outlineLevel="0" collapsed="false">
      <c r="A590" s="17" t="e">
        <f aca="false">VLOOKUP(B590,Feuil1!A:B,2,FALSE())</f>
        <v>#N/A</v>
      </c>
      <c r="B590" s="17" t="s">
        <v>1195</v>
      </c>
      <c r="C590" s="17" t="s">
        <v>1688</v>
      </c>
      <c r="D590" s="17" t="s">
        <v>1688</v>
      </c>
      <c r="E590" s="17" t="s">
        <v>1689</v>
      </c>
      <c r="F590" s="17" t="s">
        <v>1690</v>
      </c>
    </row>
    <row r="591" customFormat="false" ht="14.25" hidden="false" customHeight="true" outlineLevel="0" collapsed="false">
      <c r="A591" s="17" t="e">
        <f aca="false">VLOOKUP(B591,Feuil1!A:B,2,FALSE())</f>
        <v>#N/A</v>
      </c>
      <c r="B591" s="17" t="s">
        <v>958</v>
      </c>
      <c r="C591" s="17" t="s">
        <v>1691</v>
      </c>
      <c r="D591" s="17" t="s">
        <v>1691</v>
      </c>
      <c r="E591" s="17" t="s">
        <v>1691</v>
      </c>
      <c r="F591" s="17" t="s">
        <v>1692</v>
      </c>
    </row>
    <row r="592" customFormat="false" ht="14.25" hidden="false" customHeight="true" outlineLevel="0" collapsed="false">
      <c r="A592" s="17" t="e">
        <f aca="false">VLOOKUP(B592,Feuil1!A:B,2,FALSE())</f>
        <v>#N/A</v>
      </c>
      <c r="B592" s="17" t="s">
        <v>1190</v>
      </c>
      <c r="C592" s="17" t="s">
        <v>1693</v>
      </c>
      <c r="D592" s="17" t="s">
        <v>1693</v>
      </c>
      <c r="E592" s="17" t="s">
        <v>1693</v>
      </c>
      <c r="F592" s="17" t="s">
        <v>1694</v>
      </c>
    </row>
    <row r="593" customFormat="false" ht="14.25" hidden="false" customHeight="true" outlineLevel="0" collapsed="false">
      <c r="A593" s="17" t="str">
        <f aca="false">VLOOKUP(B593,Feuil1!A:B,2,FALSE())</f>
        <v>District - Résultat du PCR</v>
      </c>
      <c r="B593" s="17" t="s">
        <v>651</v>
      </c>
      <c r="C593" s="17" t="s">
        <v>332</v>
      </c>
      <c r="D593" s="17" t="s">
        <v>332</v>
      </c>
      <c r="E593" s="17" t="s">
        <v>332</v>
      </c>
      <c r="F593" s="17" t="s">
        <v>334</v>
      </c>
    </row>
    <row r="594" customFormat="false" ht="14.25" hidden="false" customHeight="true" outlineLevel="0" collapsed="false">
      <c r="A594" s="17" t="e">
        <f aca="false">VLOOKUP(B594,Feuil1!A:B,2,FALSE())</f>
        <v>#N/A</v>
      </c>
      <c r="B594" s="17" t="s">
        <v>1553</v>
      </c>
      <c r="C594" s="17" t="s">
        <v>1695</v>
      </c>
      <c r="D594" s="17" t="s">
        <v>1695</v>
      </c>
      <c r="E594" s="17" t="s">
        <v>375</v>
      </c>
      <c r="F594" s="17" t="s">
        <v>1696</v>
      </c>
    </row>
    <row r="595" customFormat="false" ht="14.25" hidden="false" customHeight="true" outlineLevel="0" collapsed="false">
      <c r="A595" s="17" t="str">
        <f aca="false">VLOOKUP(B595,Feuil1!A:B,2,FALSE())</f>
        <v>District - sérotype S. pneumoniae</v>
      </c>
      <c r="B595" s="17" t="s">
        <v>545</v>
      </c>
      <c r="C595" s="17" t="n">
        <v>14</v>
      </c>
      <c r="D595" s="17" t="n">
        <v>14</v>
      </c>
      <c r="E595" s="17" t="n">
        <v>14</v>
      </c>
      <c r="F595" s="17" t="s">
        <v>80</v>
      </c>
    </row>
    <row r="596" customFormat="false" ht="14.25" hidden="false" customHeight="true" outlineLevel="0" collapsed="false">
      <c r="A596" s="17" t="e">
        <f aca="false">VLOOKUP(B596,Feuil1!A:B,2,FALSE())</f>
        <v>#N/A</v>
      </c>
      <c r="B596" s="17" t="s">
        <v>952</v>
      </c>
      <c r="C596" s="17" t="s">
        <v>1697</v>
      </c>
      <c r="D596" s="17" t="s">
        <v>1697</v>
      </c>
      <c r="E596" s="17" t="s">
        <v>1698</v>
      </c>
      <c r="F596" s="17" t="s">
        <v>1699</v>
      </c>
    </row>
    <row r="597" customFormat="false" ht="14.25" hidden="false" customHeight="true" outlineLevel="0" collapsed="false">
      <c r="A597" s="17" t="e">
        <f aca="false">VLOOKUP(B597,Feuil1!A:B,2,FALSE())</f>
        <v>#N/A</v>
      </c>
      <c r="B597" s="17" t="s">
        <v>810</v>
      </c>
      <c r="C597" s="17" t="s">
        <v>375</v>
      </c>
      <c r="D597" s="17" t="s">
        <v>375</v>
      </c>
      <c r="E597" s="17" t="s">
        <v>375</v>
      </c>
      <c r="F597" s="17" t="s">
        <v>1700</v>
      </c>
    </row>
    <row r="598" customFormat="false" ht="14.25" hidden="false" customHeight="true" outlineLevel="0" collapsed="false">
      <c r="A598" s="17" t="str">
        <f aca="false">VLOOKUP(B598,Feuil1!A:B,2,FALSE())</f>
        <v>District - sérotype S. pneumoniae</v>
      </c>
      <c r="B598" s="17" t="s">
        <v>545</v>
      </c>
      <c r="C598" s="17" t="s">
        <v>156</v>
      </c>
      <c r="D598" s="17" t="s">
        <v>156</v>
      </c>
      <c r="E598" s="17" t="s">
        <v>156</v>
      </c>
      <c r="F598" s="17" t="s">
        <v>155</v>
      </c>
    </row>
    <row r="599" customFormat="false" ht="14.25" hidden="false" customHeight="true" outlineLevel="0" collapsed="false">
      <c r="A599" s="17" t="e">
        <f aca="false">VLOOKUP(B599,Feuil1!A:B,2,FALSE())</f>
        <v>#N/A</v>
      </c>
      <c r="B599" s="17" t="s">
        <v>776</v>
      </c>
      <c r="C599" s="17" t="s">
        <v>1701</v>
      </c>
      <c r="D599" s="17" t="s">
        <v>1701</v>
      </c>
      <c r="E599" s="17" t="s">
        <v>1702</v>
      </c>
      <c r="F599" s="17" t="s">
        <v>1703</v>
      </c>
    </row>
    <row r="600" customFormat="false" ht="14.25" hidden="false" customHeight="true" outlineLevel="0" collapsed="false">
      <c r="A600" s="17" t="e">
        <f aca="false">VLOOKUP(B600,Feuil1!A:B,2,FALSE())</f>
        <v>#N/A</v>
      </c>
      <c r="B600" s="17" t="s">
        <v>854</v>
      </c>
      <c r="C600" s="17" t="s">
        <v>1704</v>
      </c>
      <c r="D600" s="17" t="s">
        <v>1704</v>
      </c>
      <c r="E600" s="17" t="s">
        <v>1704</v>
      </c>
      <c r="F600" s="17" t="s">
        <v>1705</v>
      </c>
    </row>
    <row r="601" customFormat="false" ht="14.25" hidden="false" customHeight="true" outlineLevel="0" collapsed="false">
      <c r="A601" s="17" t="e">
        <f aca="false">VLOOKUP(B601,Feuil1!A:B,2,FALSE())</f>
        <v>#N/A</v>
      </c>
      <c r="B601" s="17" t="s">
        <v>1358</v>
      </c>
      <c r="C601" s="17" t="s">
        <v>375</v>
      </c>
      <c r="D601" s="17" t="s">
        <v>375</v>
      </c>
      <c r="E601" s="17" t="s">
        <v>375</v>
      </c>
      <c r="F601" s="17" t="s">
        <v>1706</v>
      </c>
    </row>
    <row r="602" customFormat="false" ht="14.25" hidden="false" customHeight="true" outlineLevel="0" collapsed="false">
      <c r="A602" s="17" t="str">
        <f aca="false">VLOOKUP(B602,Feuil1!A:B,2,FALSE())</f>
        <v>District - Résultat final du laboratoire</v>
      </c>
      <c r="B602" s="17" t="s">
        <v>505</v>
      </c>
      <c r="C602" s="17" t="s">
        <v>187</v>
      </c>
      <c r="D602" s="17" t="s">
        <v>187</v>
      </c>
      <c r="E602" s="17" t="s">
        <v>187</v>
      </c>
      <c r="F602" s="17" t="s">
        <v>186</v>
      </c>
    </row>
    <row r="603" customFormat="false" ht="14.25" hidden="false" customHeight="true" outlineLevel="0" collapsed="false">
      <c r="A603" s="17" t="str">
        <f aca="false">VLOOKUP(B603,Feuil1!A:B,2,FALSE())</f>
        <v>District - Résultat final du laboratoire</v>
      </c>
      <c r="B603" s="17" t="s">
        <v>505</v>
      </c>
      <c r="C603" s="17" t="s">
        <v>328</v>
      </c>
      <c r="D603" s="17" t="s">
        <v>328</v>
      </c>
      <c r="E603" s="17" t="s">
        <v>328</v>
      </c>
      <c r="F603" s="17" t="s">
        <v>330</v>
      </c>
    </row>
    <row r="604" customFormat="false" ht="14.25" hidden="false" customHeight="true" outlineLevel="0" collapsed="false">
      <c r="A604" s="17" t="e">
        <f aca="false">VLOOKUP(B604,Feuil1!A:B,2,FALSE())</f>
        <v>#N/A</v>
      </c>
      <c r="B604" s="17" t="s">
        <v>822</v>
      </c>
      <c r="C604" s="17" t="s">
        <v>860</v>
      </c>
      <c r="D604" s="17" t="s">
        <v>860</v>
      </c>
      <c r="E604" s="17" t="s">
        <v>860</v>
      </c>
      <c r="F604" s="17" t="s">
        <v>1707</v>
      </c>
    </row>
    <row r="605" customFormat="false" ht="14.25" hidden="false" customHeight="true" outlineLevel="0" collapsed="false">
      <c r="A605" s="17" t="e">
        <f aca="false">VLOOKUP(B605,Feuil1!A:B,2,FALSE())</f>
        <v>#N/A</v>
      </c>
      <c r="B605" s="17" t="s">
        <v>1553</v>
      </c>
      <c r="C605" s="17" t="s">
        <v>1708</v>
      </c>
      <c r="D605" s="17" t="s">
        <v>1708</v>
      </c>
      <c r="E605" s="17" t="s">
        <v>1055</v>
      </c>
      <c r="F605" s="17" t="s">
        <v>1709</v>
      </c>
    </row>
    <row r="606" customFormat="false" ht="14.25" hidden="false" customHeight="true" outlineLevel="0" collapsed="false">
      <c r="A606" s="17" t="e">
        <f aca="false">VLOOKUP(B606,Feuil1!A:B,2,FALSE())</f>
        <v>#N/A</v>
      </c>
      <c r="B606" s="17" t="s">
        <v>1233</v>
      </c>
      <c r="C606" s="17" t="s">
        <v>1710</v>
      </c>
      <c r="D606" s="17" t="s">
        <v>1710</v>
      </c>
      <c r="E606" s="17" t="s">
        <v>1710</v>
      </c>
      <c r="F606" s="17" t="s">
        <v>1711</v>
      </c>
    </row>
    <row r="607" customFormat="false" ht="14.25" hidden="false" customHeight="true" outlineLevel="0" collapsed="false">
      <c r="A607" s="17" t="e">
        <f aca="false">VLOOKUP(B607,Feuil1!A:B,2,FALSE())</f>
        <v>#N/A</v>
      </c>
      <c r="B607" s="17" t="s">
        <v>1030</v>
      </c>
      <c r="C607" s="17" t="s">
        <v>376</v>
      </c>
      <c r="D607" s="17" t="s">
        <v>376</v>
      </c>
      <c r="E607" s="17" t="s">
        <v>376</v>
      </c>
      <c r="F607" s="17" t="s">
        <v>1712</v>
      </c>
    </row>
    <row r="608" customFormat="false" ht="14.25" hidden="false" customHeight="true" outlineLevel="0" collapsed="false">
      <c r="A608" s="17" t="e">
        <f aca="false">VLOOKUP(B608,Feuil1!A:B,2,FALSE())</f>
        <v>#N/A</v>
      </c>
      <c r="B608" s="17" t="s">
        <v>836</v>
      </c>
      <c r="C608" s="17" t="s">
        <v>376</v>
      </c>
      <c r="D608" s="17" t="s">
        <v>376</v>
      </c>
      <c r="E608" s="17" t="s">
        <v>376</v>
      </c>
      <c r="F608" s="17" t="s">
        <v>1713</v>
      </c>
    </row>
    <row r="609" customFormat="false" ht="14.25" hidden="false" customHeight="true" outlineLevel="0" collapsed="false">
      <c r="A609" s="17" t="e">
        <f aca="false">VLOOKUP(B609,Feuil1!A:B,2,FALSE())</f>
        <v>#N/A</v>
      </c>
      <c r="B609" s="17" t="s">
        <v>776</v>
      </c>
      <c r="C609" s="17" t="s">
        <v>1714</v>
      </c>
      <c r="D609" s="17" t="s">
        <v>1714</v>
      </c>
      <c r="E609" s="17" t="s">
        <v>1715</v>
      </c>
      <c r="F609" s="17" t="s">
        <v>1716</v>
      </c>
    </row>
    <row r="610" customFormat="false" ht="14.25" hidden="false" customHeight="true" outlineLevel="0" collapsed="false">
      <c r="A610" s="17" t="e">
        <f aca="false">VLOOKUP(B610,Feuil1!A:B,2,FALSE())</f>
        <v>#N/A</v>
      </c>
      <c r="B610" s="17" t="s">
        <v>873</v>
      </c>
      <c r="C610" s="17" t="s">
        <v>1717</v>
      </c>
      <c r="D610" s="17" t="s">
        <v>1717</v>
      </c>
      <c r="E610" s="17" t="s">
        <v>1718</v>
      </c>
      <c r="F610" s="17" t="s">
        <v>1719</v>
      </c>
    </row>
    <row r="611" customFormat="false" ht="14.25" hidden="false" customHeight="true" outlineLevel="0" collapsed="false">
      <c r="A611" s="17" t="e">
        <f aca="false">VLOOKUP(B611,Feuil1!A:B,2,FALSE())</f>
        <v>#N/A</v>
      </c>
      <c r="B611" s="17" t="s">
        <v>868</v>
      </c>
      <c r="C611" s="17" t="s">
        <v>1720</v>
      </c>
      <c r="D611" s="17" t="s">
        <v>1720</v>
      </c>
      <c r="E611" s="17" t="s">
        <v>1720</v>
      </c>
      <c r="F611" s="17" t="s">
        <v>1721</v>
      </c>
    </row>
  </sheetData>
  <autoFilter ref="A1:F61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35" min="1" style="1" width="8.67"/>
  </cols>
  <sheetData>
    <row r="1" customFormat="false" ht="14.25" hidden="false" customHeight="true" outlineLevel="0" collapsed="false">
      <c r="A1" s="7"/>
      <c r="B1" s="7"/>
      <c r="C1" s="7"/>
      <c r="D1" s="7"/>
      <c r="E1" s="7" t="s">
        <v>1722</v>
      </c>
      <c r="F1" s="7"/>
      <c r="G1" s="7"/>
      <c r="H1" s="7" t="s">
        <v>1723</v>
      </c>
      <c r="I1" s="7" t="s">
        <v>1724</v>
      </c>
      <c r="J1" s="7"/>
      <c r="K1" s="7"/>
      <c r="L1" s="7" t="s">
        <v>1725</v>
      </c>
      <c r="M1" s="7"/>
      <c r="N1" s="7" t="s">
        <v>1726</v>
      </c>
      <c r="O1" s="7"/>
      <c r="P1" s="7"/>
      <c r="Q1" s="7" t="s">
        <v>784</v>
      </c>
      <c r="R1" s="7" t="s">
        <v>1727</v>
      </c>
      <c r="S1" s="7" t="s">
        <v>221</v>
      </c>
      <c r="T1" s="7" t="s">
        <v>1728</v>
      </c>
      <c r="U1" s="7" t="s">
        <v>1729</v>
      </c>
      <c r="V1" s="7" t="s">
        <v>1730</v>
      </c>
      <c r="W1" s="7" t="s">
        <v>1731</v>
      </c>
      <c r="X1" s="7"/>
      <c r="Y1" s="7"/>
      <c r="Z1" s="7"/>
      <c r="AA1" s="7"/>
      <c r="AB1" s="7"/>
      <c r="AC1" s="7" t="s">
        <v>345</v>
      </c>
      <c r="AD1" s="7" t="s">
        <v>1732</v>
      </c>
      <c r="AE1" s="7"/>
      <c r="AF1" s="7" t="s">
        <v>1733</v>
      </c>
      <c r="AG1" s="7"/>
      <c r="AH1" s="7" t="s">
        <v>987</v>
      </c>
      <c r="AI1" s="7" t="s">
        <v>1734</v>
      </c>
    </row>
    <row r="2" customFormat="false" ht="14.25" hidden="false" customHeight="true" outlineLevel="0" collapsed="false">
      <c r="A2" s="7"/>
      <c r="B2" s="7"/>
      <c r="C2" s="7"/>
      <c r="D2" s="7"/>
      <c r="E2" s="7" t="s">
        <v>1735</v>
      </c>
      <c r="F2" s="7"/>
      <c r="G2" s="7"/>
      <c r="H2" s="7" t="s">
        <v>1736</v>
      </c>
      <c r="I2" s="7" t="s">
        <v>1737</v>
      </c>
      <c r="J2" s="7"/>
      <c r="K2" s="7"/>
      <c r="L2" s="7" t="s">
        <v>1738</v>
      </c>
      <c r="M2" s="7"/>
      <c r="N2" s="7" t="s">
        <v>1739</v>
      </c>
      <c r="O2" s="7"/>
      <c r="P2" s="7"/>
      <c r="Q2" s="7" t="s">
        <v>1740</v>
      </c>
      <c r="R2" s="7" t="s">
        <v>1741</v>
      </c>
      <c r="S2" s="7" t="s">
        <v>1742</v>
      </c>
      <c r="T2" s="7" t="s">
        <v>1743</v>
      </c>
      <c r="U2" s="7" t="s">
        <v>1744</v>
      </c>
      <c r="V2" s="7" t="s">
        <v>1745</v>
      </c>
      <c r="W2" s="7" t="s">
        <v>1746</v>
      </c>
      <c r="X2" s="7"/>
      <c r="Y2" s="7"/>
      <c r="Z2" s="7"/>
      <c r="AA2" s="7"/>
      <c r="AB2" s="7"/>
      <c r="AC2" s="7" t="s">
        <v>463</v>
      </c>
      <c r="AD2" s="7" t="s">
        <v>1747</v>
      </c>
      <c r="AE2" s="7"/>
      <c r="AF2" s="7" t="s">
        <v>1748</v>
      </c>
      <c r="AG2" s="7"/>
      <c r="AH2" s="7" t="s">
        <v>307</v>
      </c>
      <c r="AI2" s="7" t="s">
        <v>1749</v>
      </c>
    </row>
    <row r="3" customFormat="false" ht="14.25" hidden="false" customHeight="true" outlineLevel="0" collapsed="false">
      <c r="A3" s="7"/>
      <c r="B3" s="7"/>
      <c r="C3" s="7"/>
      <c r="D3" s="7"/>
      <c r="E3" s="7" t="s">
        <v>1750</v>
      </c>
      <c r="F3" s="7"/>
      <c r="G3" s="7"/>
      <c r="H3" s="7" t="s">
        <v>1751</v>
      </c>
      <c r="I3" s="7" t="s">
        <v>1752</v>
      </c>
      <c r="J3" s="7"/>
      <c r="K3" s="7"/>
      <c r="L3" s="7" t="s">
        <v>1753</v>
      </c>
      <c r="M3" s="7"/>
      <c r="N3" s="7" t="s">
        <v>1754</v>
      </c>
      <c r="O3" s="7"/>
      <c r="P3" s="7"/>
      <c r="Q3" s="7" t="s">
        <v>1755</v>
      </c>
      <c r="R3" s="7" t="s">
        <v>1756</v>
      </c>
      <c r="S3" s="7" t="s">
        <v>1757</v>
      </c>
      <c r="T3" s="7" t="s">
        <v>1758</v>
      </c>
      <c r="U3" s="7" t="s">
        <v>1759</v>
      </c>
      <c r="V3" s="7" t="s">
        <v>1760</v>
      </c>
      <c r="W3" s="7" t="s">
        <v>1761</v>
      </c>
      <c r="X3" s="7"/>
      <c r="Y3" s="7"/>
      <c r="Z3" s="7"/>
      <c r="AA3" s="7"/>
      <c r="AB3" s="7"/>
      <c r="AC3" s="7" t="s">
        <v>1645</v>
      </c>
      <c r="AD3" s="7" t="s">
        <v>1762</v>
      </c>
      <c r="AE3" s="7"/>
      <c r="AF3" s="7" t="s">
        <v>1763</v>
      </c>
      <c r="AG3" s="7"/>
      <c r="AH3" s="7" t="s">
        <v>1764</v>
      </c>
      <c r="AI3" s="7" t="s">
        <v>1765</v>
      </c>
    </row>
    <row r="4" customFormat="false" ht="14.25" hidden="false" customHeight="true" outlineLevel="0" collapsed="false">
      <c r="A4" s="7"/>
      <c r="B4" s="7"/>
      <c r="C4" s="7"/>
      <c r="D4" s="7"/>
      <c r="E4" s="7" t="s">
        <v>1766</v>
      </c>
      <c r="F4" s="7"/>
      <c r="G4" s="7"/>
      <c r="H4" s="7" t="s">
        <v>1767</v>
      </c>
      <c r="I4" s="7" t="s">
        <v>1768</v>
      </c>
      <c r="J4" s="7"/>
      <c r="K4" s="7"/>
      <c r="L4" s="7" t="s">
        <v>1769</v>
      </c>
      <c r="M4" s="7"/>
      <c r="N4" s="7" t="s">
        <v>1770</v>
      </c>
      <c r="O4" s="7"/>
      <c r="P4" s="7"/>
      <c r="Q4" s="7" t="s">
        <v>1771</v>
      </c>
      <c r="R4" s="7" t="s">
        <v>1772</v>
      </c>
      <c r="S4" s="7"/>
      <c r="T4" s="7" t="s">
        <v>1773</v>
      </c>
      <c r="U4" s="7" t="s">
        <v>1774</v>
      </c>
      <c r="V4" s="7" t="s">
        <v>1775</v>
      </c>
      <c r="W4" s="7" t="s">
        <v>1776</v>
      </c>
      <c r="X4" s="7"/>
      <c r="Y4" s="7"/>
      <c r="Z4" s="7"/>
      <c r="AA4" s="7"/>
      <c r="AB4" s="7"/>
      <c r="AC4" s="7"/>
      <c r="AD4" s="7" t="s">
        <v>1777</v>
      </c>
      <c r="AE4" s="7"/>
      <c r="AF4" s="7" t="s">
        <v>1778</v>
      </c>
      <c r="AG4" s="7"/>
      <c r="AH4" s="7" t="s">
        <v>857</v>
      </c>
      <c r="AI4" s="7" t="s">
        <v>1779</v>
      </c>
    </row>
    <row r="5" customFormat="false" ht="14.25" hidden="false" customHeight="true" outlineLevel="0" collapsed="false">
      <c r="A5" s="7"/>
      <c r="B5" s="7"/>
      <c r="C5" s="7"/>
      <c r="D5" s="7"/>
      <c r="E5" s="7" t="s">
        <v>1780</v>
      </c>
      <c r="F5" s="7"/>
      <c r="G5" s="7"/>
      <c r="H5" s="7" t="s">
        <v>1781</v>
      </c>
      <c r="I5" s="7" t="s">
        <v>1782</v>
      </c>
      <c r="J5" s="7"/>
      <c r="K5" s="7"/>
      <c r="L5" s="7" t="s">
        <v>1783</v>
      </c>
      <c r="M5" s="7"/>
      <c r="N5" s="7" t="s">
        <v>1784</v>
      </c>
      <c r="O5" s="7"/>
      <c r="P5" s="7"/>
      <c r="Q5" s="7" t="s">
        <v>1785</v>
      </c>
      <c r="R5" s="7" t="s">
        <v>1786</v>
      </c>
      <c r="S5" s="7"/>
      <c r="T5" s="7" t="s">
        <v>1787</v>
      </c>
      <c r="U5" s="7" t="s">
        <v>1788</v>
      </c>
      <c r="V5" s="7" t="s">
        <v>1789</v>
      </c>
      <c r="W5" s="7" t="s">
        <v>1790</v>
      </c>
      <c r="X5" s="7"/>
      <c r="Y5" s="7"/>
      <c r="Z5" s="7"/>
      <c r="AA5" s="7"/>
      <c r="AB5" s="7"/>
      <c r="AC5" s="7"/>
      <c r="AD5" s="7" t="s">
        <v>1791</v>
      </c>
      <c r="AE5" s="7"/>
      <c r="AF5" s="7" t="s">
        <v>1792</v>
      </c>
      <c r="AG5" s="7"/>
      <c r="AH5" s="7" t="s">
        <v>403</v>
      </c>
      <c r="AI5" s="7" t="s">
        <v>1793</v>
      </c>
    </row>
    <row r="6" customFormat="false" ht="14.25" hidden="false" customHeight="true" outlineLevel="0" collapsed="false">
      <c r="A6" s="7"/>
      <c r="B6" s="7"/>
      <c r="C6" s="7"/>
      <c r="D6" s="7"/>
      <c r="E6" s="7" t="s">
        <v>1794</v>
      </c>
      <c r="F6" s="7"/>
      <c r="G6" s="7"/>
      <c r="H6" s="7" t="s">
        <v>463</v>
      </c>
      <c r="I6" s="7" t="s">
        <v>1795</v>
      </c>
      <c r="J6" s="7"/>
      <c r="K6" s="7"/>
      <c r="L6" s="7" t="s">
        <v>1796</v>
      </c>
      <c r="M6" s="7"/>
      <c r="N6" s="7" t="s">
        <v>1797</v>
      </c>
      <c r="O6" s="7"/>
      <c r="P6" s="7"/>
      <c r="Q6" s="7" t="s">
        <v>1798</v>
      </c>
      <c r="R6" s="7" t="s">
        <v>1799</v>
      </c>
      <c r="S6" s="7"/>
      <c r="T6" s="7" t="s">
        <v>1800</v>
      </c>
      <c r="U6" s="7" t="s">
        <v>1801</v>
      </c>
      <c r="V6" s="7" t="s">
        <v>1802</v>
      </c>
      <c r="W6" s="7" t="s">
        <v>1803</v>
      </c>
      <c r="X6" s="7"/>
      <c r="Y6" s="7"/>
      <c r="Z6" s="7"/>
      <c r="AA6" s="7"/>
      <c r="AB6" s="7"/>
      <c r="AC6" s="7"/>
      <c r="AD6" s="7" t="s">
        <v>1804</v>
      </c>
      <c r="AE6" s="7"/>
      <c r="AF6" s="7" t="s">
        <v>1805</v>
      </c>
      <c r="AG6" s="7"/>
      <c r="AH6" s="7"/>
      <c r="AI6" s="7" t="s">
        <v>1806</v>
      </c>
    </row>
    <row r="7" customFormat="false" ht="14.25" hidden="false" customHeight="true" outlineLevel="0" collapsed="false">
      <c r="A7" s="7"/>
      <c r="B7" s="7"/>
      <c r="C7" s="7"/>
      <c r="D7" s="7"/>
      <c r="E7" s="7" t="s">
        <v>1807</v>
      </c>
      <c r="F7" s="7"/>
      <c r="G7" s="7"/>
      <c r="H7" s="7"/>
      <c r="I7" s="7" t="s">
        <v>1808</v>
      </c>
      <c r="J7" s="7"/>
      <c r="K7" s="7"/>
      <c r="L7" s="7" t="s">
        <v>1809</v>
      </c>
      <c r="M7" s="7"/>
      <c r="N7" s="7" t="s">
        <v>1810</v>
      </c>
      <c r="O7" s="7"/>
      <c r="P7" s="7"/>
      <c r="Q7" s="7" t="s">
        <v>1811</v>
      </c>
      <c r="R7" s="7" t="s">
        <v>1812</v>
      </c>
      <c r="S7" s="7"/>
      <c r="T7" s="7" t="s">
        <v>1813</v>
      </c>
      <c r="U7" s="7" t="s">
        <v>1814</v>
      </c>
      <c r="V7" s="7" t="s">
        <v>1815</v>
      </c>
      <c r="W7" s="7" t="s">
        <v>1816</v>
      </c>
      <c r="X7" s="7"/>
      <c r="Y7" s="7"/>
      <c r="Z7" s="7"/>
      <c r="AA7" s="7"/>
      <c r="AB7" s="7"/>
      <c r="AC7" s="7"/>
      <c r="AD7" s="7" t="s">
        <v>1817</v>
      </c>
      <c r="AE7" s="7"/>
      <c r="AF7" s="7" t="s">
        <v>1818</v>
      </c>
      <c r="AG7" s="7"/>
      <c r="AH7" s="7"/>
      <c r="AI7" s="7" t="s">
        <v>1819</v>
      </c>
    </row>
    <row r="8" customFormat="false" ht="14.25" hidden="false" customHeight="true" outlineLevel="0" collapsed="false">
      <c r="A8" s="7"/>
      <c r="B8" s="7"/>
      <c r="C8" s="7"/>
      <c r="D8" s="7"/>
      <c r="E8" s="7" t="s">
        <v>1820</v>
      </c>
      <c r="F8" s="7"/>
      <c r="G8" s="7"/>
      <c r="H8" s="7"/>
      <c r="I8" s="7" t="s">
        <v>1821</v>
      </c>
      <c r="J8" s="7"/>
      <c r="K8" s="7"/>
      <c r="L8" s="7"/>
      <c r="M8" s="7"/>
      <c r="N8" s="7" t="s">
        <v>1822</v>
      </c>
      <c r="O8" s="7"/>
      <c r="P8" s="7"/>
      <c r="Q8" s="7" t="s">
        <v>1823</v>
      </c>
      <c r="R8" s="7" t="s">
        <v>1824</v>
      </c>
      <c r="S8" s="7"/>
      <c r="T8" s="7" t="s">
        <v>1825</v>
      </c>
      <c r="U8" s="7" t="s">
        <v>1826</v>
      </c>
      <c r="V8" s="7" t="s">
        <v>1827</v>
      </c>
      <c r="W8" s="7" t="s">
        <v>1828</v>
      </c>
      <c r="X8" s="7"/>
      <c r="Y8" s="7"/>
      <c r="Z8" s="7"/>
      <c r="AA8" s="7"/>
      <c r="AB8" s="7"/>
      <c r="AC8" s="7"/>
      <c r="AD8" s="7" t="s">
        <v>1829</v>
      </c>
      <c r="AE8" s="7"/>
      <c r="AF8" s="7" t="s">
        <v>1830</v>
      </c>
      <c r="AG8" s="7"/>
      <c r="AH8" s="7"/>
      <c r="AI8" s="7" t="s">
        <v>1831</v>
      </c>
    </row>
    <row r="9" customFormat="false" ht="14.25" hidden="false" customHeight="true" outlineLevel="0" collapsed="false">
      <c r="A9" s="7"/>
      <c r="B9" s="7"/>
      <c r="C9" s="7"/>
      <c r="D9" s="7"/>
      <c r="E9" s="7" t="s">
        <v>1832</v>
      </c>
      <c r="F9" s="7"/>
      <c r="G9" s="7"/>
      <c r="H9" s="7"/>
      <c r="I9" s="7" t="s">
        <v>1833</v>
      </c>
      <c r="J9" s="7"/>
      <c r="K9" s="7"/>
      <c r="L9" s="7"/>
      <c r="M9" s="7"/>
      <c r="N9" s="7" t="s">
        <v>1834</v>
      </c>
      <c r="O9" s="7"/>
      <c r="P9" s="7"/>
      <c r="Q9" s="7" t="s">
        <v>1835</v>
      </c>
      <c r="R9" s="7" t="s">
        <v>1836</v>
      </c>
      <c r="S9" s="7"/>
      <c r="T9" s="7" t="s">
        <v>1837</v>
      </c>
      <c r="U9" s="7" t="s">
        <v>1838</v>
      </c>
      <c r="V9" s="7" t="s">
        <v>1839</v>
      </c>
      <c r="W9" s="7" t="s">
        <v>1840</v>
      </c>
      <c r="X9" s="7"/>
      <c r="Y9" s="7"/>
      <c r="Z9" s="7"/>
      <c r="AA9" s="7"/>
      <c r="AB9" s="7"/>
      <c r="AC9" s="7"/>
      <c r="AD9" s="7" t="s">
        <v>1841</v>
      </c>
      <c r="AE9" s="7"/>
      <c r="AF9" s="7" t="s">
        <v>1842</v>
      </c>
      <c r="AG9" s="7"/>
      <c r="AH9" s="7"/>
      <c r="AI9" s="7" t="s">
        <v>1843</v>
      </c>
    </row>
    <row r="10" customFormat="false" ht="14.25" hidden="false" customHeight="true" outlineLevel="0" collapsed="false">
      <c r="A10" s="7"/>
      <c r="B10" s="7"/>
      <c r="C10" s="7"/>
      <c r="D10" s="7"/>
      <c r="E10" s="7" t="s">
        <v>1844</v>
      </c>
      <c r="F10" s="7"/>
      <c r="G10" s="7"/>
      <c r="H10" s="7"/>
      <c r="I10" s="7" t="s">
        <v>1845</v>
      </c>
      <c r="J10" s="7"/>
      <c r="K10" s="7"/>
      <c r="L10" s="7"/>
      <c r="M10" s="7"/>
      <c r="N10" s="7" t="s">
        <v>1846</v>
      </c>
      <c r="O10" s="7"/>
      <c r="P10" s="7"/>
      <c r="Q10" s="7" t="s">
        <v>1847</v>
      </c>
      <c r="R10" s="7" t="s">
        <v>1848</v>
      </c>
      <c r="S10" s="7"/>
      <c r="T10" s="7" t="s">
        <v>1849</v>
      </c>
      <c r="U10" s="7" t="s">
        <v>1850</v>
      </c>
      <c r="V10" s="7" t="s">
        <v>1851</v>
      </c>
      <c r="W10" s="7" t="s">
        <v>1852</v>
      </c>
      <c r="X10" s="7"/>
      <c r="Y10" s="7"/>
      <c r="Z10" s="7"/>
      <c r="AA10" s="7"/>
      <c r="AB10" s="7"/>
      <c r="AC10" s="7"/>
      <c r="AD10" s="7" t="s">
        <v>1853</v>
      </c>
      <c r="AE10" s="7"/>
      <c r="AF10" s="7" t="s">
        <v>1854</v>
      </c>
      <c r="AG10" s="7"/>
      <c r="AH10" s="7"/>
      <c r="AI10" s="7" t="s">
        <v>1855</v>
      </c>
    </row>
    <row r="11" customFormat="false" ht="14.25" hidden="false" customHeight="true" outlineLevel="0" collapsed="false">
      <c r="A11" s="7"/>
      <c r="B11" s="7"/>
      <c r="C11" s="7"/>
      <c r="D11" s="7"/>
      <c r="E11" s="7" t="s">
        <v>1856</v>
      </c>
      <c r="F11" s="7"/>
      <c r="G11" s="7"/>
      <c r="H11" s="7"/>
      <c r="I11" s="7" t="s">
        <v>1857</v>
      </c>
      <c r="J11" s="7"/>
      <c r="K11" s="7"/>
      <c r="L11" s="7"/>
      <c r="M11" s="7"/>
      <c r="N11" s="7" t="s">
        <v>1858</v>
      </c>
      <c r="O11" s="7"/>
      <c r="P11" s="7"/>
      <c r="Q11" s="7" t="s">
        <v>1859</v>
      </c>
      <c r="R11" s="7" t="s">
        <v>1860</v>
      </c>
      <c r="S11" s="7"/>
      <c r="T11" s="7" t="s">
        <v>1861</v>
      </c>
      <c r="U11" s="7" t="s">
        <v>1862</v>
      </c>
      <c r="V11" s="7" t="s">
        <v>1863</v>
      </c>
      <c r="W11" s="7" t="s">
        <v>1864</v>
      </c>
      <c r="X11" s="7"/>
      <c r="Y11" s="7"/>
      <c r="Z11" s="7"/>
      <c r="AA11" s="7"/>
      <c r="AB11" s="7"/>
      <c r="AC11" s="7"/>
      <c r="AD11" s="7" t="s">
        <v>1865</v>
      </c>
      <c r="AE11" s="7"/>
      <c r="AF11" s="7" t="s">
        <v>1866</v>
      </c>
      <c r="AG11" s="7"/>
      <c r="AH11" s="7"/>
      <c r="AI11" s="7" t="s">
        <v>1867</v>
      </c>
    </row>
    <row r="12" customFormat="false" ht="14.25" hidden="false" customHeight="true" outlineLevel="0" collapsed="false">
      <c r="A12" s="7"/>
      <c r="B12" s="7"/>
      <c r="C12" s="7"/>
      <c r="D12" s="7"/>
      <c r="E12" s="7" t="s">
        <v>1868</v>
      </c>
      <c r="F12" s="7"/>
      <c r="G12" s="7"/>
      <c r="H12" s="7"/>
      <c r="I12" s="7" t="s">
        <v>1869</v>
      </c>
      <c r="J12" s="7"/>
      <c r="K12" s="7"/>
      <c r="L12" s="7"/>
      <c r="M12" s="7"/>
      <c r="N12" s="7" t="s">
        <v>1870</v>
      </c>
      <c r="O12" s="7"/>
      <c r="P12" s="7"/>
      <c r="Q12" s="7" t="s">
        <v>1871</v>
      </c>
      <c r="R12" s="7" t="s">
        <v>1872</v>
      </c>
      <c r="S12" s="7"/>
      <c r="T12" s="7" t="s">
        <v>1873</v>
      </c>
      <c r="U12" s="7" t="s">
        <v>1874</v>
      </c>
      <c r="V12" s="7" t="s">
        <v>1875</v>
      </c>
      <c r="W12" s="7" t="s">
        <v>1876</v>
      </c>
      <c r="X12" s="7"/>
      <c r="Y12" s="7"/>
      <c r="Z12" s="7"/>
      <c r="AA12" s="7"/>
      <c r="AB12" s="7"/>
      <c r="AC12" s="7"/>
      <c r="AD12" s="7" t="s">
        <v>1877</v>
      </c>
      <c r="AE12" s="7"/>
      <c r="AF12" s="7" t="s">
        <v>1878</v>
      </c>
      <c r="AG12" s="7"/>
      <c r="AH12" s="7"/>
      <c r="AI12" s="7" t="s">
        <v>1879</v>
      </c>
    </row>
    <row r="13" customFormat="false" ht="14.25" hidden="false" customHeight="true" outlineLevel="0" collapsed="false">
      <c r="A13" s="7"/>
      <c r="B13" s="7"/>
      <c r="C13" s="7"/>
      <c r="D13" s="7"/>
      <c r="E13" s="7" t="s">
        <v>1880</v>
      </c>
      <c r="F13" s="7"/>
      <c r="G13" s="7"/>
      <c r="H13" s="7"/>
      <c r="I13" s="7" t="s">
        <v>1881</v>
      </c>
      <c r="J13" s="7"/>
      <c r="K13" s="7"/>
      <c r="L13" s="7"/>
      <c r="M13" s="7"/>
      <c r="N13" s="7" t="s">
        <v>1882</v>
      </c>
      <c r="O13" s="7"/>
      <c r="P13" s="7"/>
      <c r="Q13" s="7" t="s">
        <v>1883</v>
      </c>
      <c r="R13" s="7" t="s">
        <v>1884</v>
      </c>
      <c r="S13" s="7"/>
      <c r="T13" s="7" t="s">
        <v>1885</v>
      </c>
      <c r="U13" s="7" t="s">
        <v>1886</v>
      </c>
      <c r="V13" s="7" t="s">
        <v>1887</v>
      </c>
      <c r="W13" s="7" t="s">
        <v>1888</v>
      </c>
      <c r="X13" s="7"/>
      <c r="Y13" s="7"/>
      <c r="Z13" s="7"/>
      <c r="AA13" s="7"/>
      <c r="AB13" s="7"/>
      <c r="AC13" s="7"/>
      <c r="AD13" s="7" t="s">
        <v>1889</v>
      </c>
      <c r="AE13" s="7"/>
      <c r="AF13" s="7" t="s">
        <v>1890</v>
      </c>
      <c r="AG13" s="7"/>
      <c r="AH13" s="7"/>
      <c r="AI13" s="7" t="s">
        <v>1891</v>
      </c>
    </row>
    <row r="14" customFormat="false" ht="14.25" hidden="false" customHeight="true" outlineLevel="0" collapsed="false">
      <c r="A14" s="7"/>
      <c r="B14" s="7"/>
      <c r="C14" s="7"/>
      <c r="D14" s="7"/>
      <c r="E14" s="7" t="s">
        <v>1892</v>
      </c>
      <c r="F14" s="7"/>
      <c r="G14" s="7"/>
      <c r="H14" s="7"/>
      <c r="I14" s="7" t="s">
        <v>1893</v>
      </c>
      <c r="J14" s="7"/>
      <c r="K14" s="7"/>
      <c r="L14" s="7"/>
      <c r="M14" s="7"/>
      <c r="N14" s="7" t="s">
        <v>1894</v>
      </c>
      <c r="O14" s="7"/>
      <c r="P14" s="7"/>
      <c r="Q14" s="7" t="s">
        <v>1895</v>
      </c>
      <c r="R14" s="7" t="s">
        <v>1896</v>
      </c>
      <c r="S14" s="7"/>
      <c r="T14" s="7" t="s">
        <v>1897</v>
      </c>
      <c r="U14" s="7" t="s">
        <v>1898</v>
      </c>
      <c r="V14" s="7" t="s">
        <v>1899</v>
      </c>
      <c r="W14" s="7" t="s">
        <v>1900</v>
      </c>
      <c r="X14" s="7"/>
      <c r="Y14" s="7"/>
      <c r="Z14" s="7"/>
      <c r="AA14" s="7"/>
      <c r="AB14" s="7"/>
      <c r="AC14" s="7"/>
      <c r="AD14" s="7" t="s">
        <v>1901</v>
      </c>
      <c r="AE14" s="7"/>
      <c r="AF14" s="7" t="s">
        <v>1902</v>
      </c>
      <c r="AG14" s="7"/>
      <c r="AH14" s="7"/>
      <c r="AI14" s="7" t="s">
        <v>1903</v>
      </c>
    </row>
    <row r="15" customFormat="false" ht="14.25" hidden="false" customHeight="true" outlineLevel="0" collapsed="false">
      <c r="A15" s="7"/>
      <c r="B15" s="7"/>
      <c r="C15" s="7"/>
      <c r="D15" s="7"/>
      <c r="E15" s="7" t="s">
        <v>1904</v>
      </c>
      <c r="F15" s="7"/>
      <c r="G15" s="7"/>
      <c r="H15" s="7"/>
      <c r="I15" s="7" t="s">
        <v>1905</v>
      </c>
      <c r="J15" s="7"/>
      <c r="K15" s="7"/>
      <c r="L15" s="7"/>
      <c r="M15" s="7"/>
      <c r="N15" s="7" t="s">
        <v>1906</v>
      </c>
      <c r="O15" s="7"/>
      <c r="P15" s="7"/>
      <c r="Q15" s="7" t="s">
        <v>1907</v>
      </c>
      <c r="R15" s="7" t="s">
        <v>1908</v>
      </c>
      <c r="S15" s="7"/>
      <c r="T15" s="7" t="s">
        <v>1909</v>
      </c>
      <c r="U15" s="7" t="s">
        <v>1910</v>
      </c>
      <c r="V15" s="7" t="s">
        <v>1911</v>
      </c>
      <c r="W15" s="7" t="s">
        <v>1912</v>
      </c>
      <c r="X15" s="7"/>
      <c r="Y15" s="7"/>
      <c r="Z15" s="7"/>
      <c r="AA15" s="7"/>
      <c r="AB15" s="7"/>
      <c r="AC15" s="7"/>
      <c r="AD15" s="7" t="s">
        <v>1913</v>
      </c>
      <c r="AE15" s="7"/>
      <c r="AF15" s="7" t="s">
        <v>1914</v>
      </c>
      <c r="AG15" s="7"/>
      <c r="AH15" s="7"/>
      <c r="AI15" s="7" t="s">
        <v>1915</v>
      </c>
    </row>
    <row r="16" customFormat="false" ht="14.25" hidden="false" customHeight="true" outlineLevel="0" collapsed="false">
      <c r="A16" s="7"/>
      <c r="B16" s="7"/>
      <c r="C16" s="7"/>
      <c r="D16" s="7"/>
      <c r="E16" s="7" t="s">
        <v>1916</v>
      </c>
      <c r="F16" s="7"/>
      <c r="G16" s="7"/>
      <c r="H16" s="7"/>
      <c r="I16" s="7" t="s">
        <v>1917</v>
      </c>
      <c r="J16" s="7"/>
      <c r="K16" s="7"/>
      <c r="L16" s="7"/>
      <c r="M16" s="7"/>
      <c r="N16" s="7" t="s">
        <v>1918</v>
      </c>
      <c r="O16" s="7"/>
      <c r="P16" s="7"/>
      <c r="Q16" s="7" t="s">
        <v>1919</v>
      </c>
      <c r="R16" s="7" t="s">
        <v>1920</v>
      </c>
      <c r="S16" s="7"/>
      <c r="T16" s="7" t="s">
        <v>1921</v>
      </c>
      <c r="U16" s="7" t="s">
        <v>1922</v>
      </c>
      <c r="V16" s="7" t="s">
        <v>1923</v>
      </c>
      <c r="W16" s="7" t="s">
        <v>1924</v>
      </c>
      <c r="X16" s="7"/>
      <c r="Y16" s="7"/>
      <c r="Z16" s="7"/>
      <c r="AA16" s="7"/>
      <c r="AB16" s="7"/>
      <c r="AC16" s="7"/>
      <c r="AD16" s="7" t="s">
        <v>1925</v>
      </c>
      <c r="AE16" s="7"/>
      <c r="AF16" s="7" t="s">
        <v>1926</v>
      </c>
      <c r="AG16" s="7"/>
      <c r="AH16" s="7"/>
      <c r="AI16" s="7" t="s">
        <v>1927</v>
      </c>
    </row>
    <row r="17" customFormat="false" ht="14.25" hidden="false" customHeight="true" outlineLevel="0" collapsed="false">
      <c r="A17" s="7"/>
      <c r="B17" s="7"/>
      <c r="C17" s="7"/>
      <c r="D17" s="7"/>
      <c r="E17" s="7" t="s">
        <v>1928</v>
      </c>
      <c r="F17" s="7"/>
      <c r="G17" s="7"/>
      <c r="H17" s="7"/>
      <c r="I17" s="7" t="s">
        <v>1929</v>
      </c>
      <c r="J17" s="7"/>
      <c r="K17" s="7"/>
      <c r="L17" s="7"/>
      <c r="M17" s="7"/>
      <c r="N17" s="7" t="s">
        <v>1930</v>
      </c>
      <c r="O17" s="7"/>
      <c r="P17" s="7"/>
      <c r="Q17" s="7" t="s">
        <v>1931</v>
      </c>
      <c r="R17" s="7" t="s">
        <v>1932</v>
      </c>
      <c r="S17" s="7"/>
      <c r="T17" s="7" t="s">
        <v>1933</v>
      </c>
      <c r="U17" s="7" t="s">
        <v>1934</v>
      </c>
      <c r="V17" s="7" t="s">
        <v>1935</v>
      </c>
      <c r="W17" s="7" t="s">
        <v>1936</v>
      </c>
      <c r="X17" s="7"/>
      <c r="Y17" s="7"/>
      <c r="Z17" s="7"/>
      <c r="AA17" s="7"/>
      <c r="AB17" s="7"/>
      <c r="AC17" s="7"/>
      <c r="AD17" s="7" t="s">
        <v>1937</v>
      </c>
      <c r="AE17" s="7"/>
      <c r="AF17" s="7" t="s">
        <v>1938</v>
      </c>
      <c r="AG17" s="7"/>
      <c r="AH17" s="7"/>
      <c r="AI17" s="7" t="s">
        <v>1939</v>
      </c>
    </row>
    <row r="18" customFormat="false" ht="14.25" hidden="false" customHeight="true" outlineLevel="0" collapsed="false">
      <c r="A18" s="7"/>
      <c r="B18" s="7"/>
      <c r="C18" s="7"/>
      <c r="D18" s="7"/>
      <c r="E18" s="7" t="s">
        <v>1940</v>
      </c>
      <c r="F18" s="7"/>
      <c r="G18" s="7"/>
      <c r="H18" s="7"/>
      <c r="I18" s="7" t="s">
        <v>1941</v>
      </c>
      <c r="J18" s="7"/>
      <c r="K18" s="7"/>
      <c r="L18" s="7"/>
      <c r="M18" s="7"/>
      <c r="N18" s="7" t="s">
        <v>1942</v>
      </c>
      <c r="O18" s="7"/>
      <c r="P18" s="7"/>
      <c r="Q18" s="7" t="s">
        <v>1943</v>
      </c>
      <c r="R18" s="7" t="s">
        <v>1944</v>
      </c>
      <c r="S18" s="7"/>
      <c r="T18" s="7" t="s">
        <v>1945</v>
      </c>
      <c r="U18" s="7" t="s">
        <v>1946</v>
      </c>
      <c r="V18" s="7" t="s">
        <v>1947</v>
      </c>
      <c r="W18" s="7" t="s">
        <v>1948</v>
      </c>
      <c r="X18" s="7"/>
      <c r="Y18" s="7"/>
      <c r="Z18" s="7"/>
      <c r="AA18" s="7"/>
      <c r="AB18" s="7"/>
      <c r="AC18" s="7"/>
      <c r="AD18" s="7" t="s">
        <v>1949</v>
      </c>
      <c r="AE18" s="7"/>
      <c r="AF18" s="7" t="s">
        <v>1950</v>
      </c>
      <c r="AG18" s="7"/>
      <c r="AH18" s="7"/>
      <c r="AI18" s="7" t="s">
        <v>1951</v>
      </c>
    </row>
    <row r="19" customFormat="false" ht="14.25" hidden="false" customHeight="true" outlineLevel="0" collapsed="false">
      <c r="A19" s="7"/>
      <c r="B19" s="7"/>
      <c r="C19" s="7"/>
      <c r="D19" s="7"/>
      <c r="E19" s="7" t="s">
        <v>1952</v>
      </c>
      <c r="F19" s="7"/>
      <c r="G19" s="7"/>
      <c r="H19" s="7"/>
      <c r="I19" s="7" t="s">
        <v>375</v>
      </c>
      <c r="J19" s="7"/>
      <c r="K19" s="7"/>
      <c r="L19" s="7"/>
      <c r="M19" s="7"/>
      <c r="N19" s="7" t="s">
        <v>1953</v>
      </c>
      <c r="O19" s="7"/>
      <c r="P19" s="7"/>
      <c r="Q19" s="7" t="s">
        <v>1954</v>
      </c>
      <c r="R19" s="7" t="s">
        <v>1955</v>
      </c>
      <c r="S19" s="7"/>
      <c r="T19" s="7" t="s">
        <v>1956</v>
      </c>
      <c r="U19" s="7" t="s">
        <v>1957</v>
      </c>
      <c r="V19" s="7" t="s">
        <v>1958</v>
      </c>
      <c r="W19" s="7" t="s">
        <v>1959</v>
      </c>
      <c r="X19" s="7"/>
      <c r="Y19" s="7"/>
      <c r="Z19" s="7"/>
      <c r="AA19" s="7"/>
      <c r="AB19" s="7"/>
      <c r="AC19" s="7"/>
      <c r="AD19" s="7" t="s">
        <v>1960</v>
      </c>
      <c r="AE19" s="7"/>
      <c r="AF19" s="7" t="s">
        <v>1961</v>
      </c>
      <c r="AG19" s="7"/>
      <c r="AH19" s="7"/>
      <c r="AI19" s="7" t="s">
        <v>1962</v>
      </c>
    </row>
    <row r="20" customFormat="false" ht="14.25" hidden="false" customHeight="true" outlineLevel="0" collapsed="false">
      <c r="A20" s="7"/>
      <c r="B20" s="7"/>
      <c r="C20" s="7"/>
      <c r="D20" s="7"/>
      <c r="E20" s="7" t="s">
        <v>1963</v>
      </c>
      <c r="F20" s="7"/>
      <c r="G20" s="7"/>
      <c r="H20" s="7"/>
      <c r="I20" s="7" t="s">
        <v>1964</v>
      </c>
      <c r="J20" s="7"/>
      <c r="K20" s="7"/>
      <c r="L20" s="7"/>
      <c r="M20" s="7"/>
      <c r="N20" s="7" t="s">
        <v>1965</v>
      </c>
      <c r="O20" s="7"/>
      <c r="P20" s="7"/>
      <c r="Q20" s="7" t="s">
        <v>1966</v>
      </c>
      <c r="R20" s="7" t="s">
        <v>1967</v>
      </c>
      <c r="S20" s="7"/>
      <c r="T20" s="7" t="s">
        <v>1968</v>
      </c>
      <c r="U20" s="7" t="s">
        <v>1969</v>
      </c>
      <c r="V20" s="7" t="s">
        <v>1970</v>
      </c>
      <c r="W20" s="7" t="s">
        <v>1971</v>
      </c>
      <c r="X20" s="7"/>
      <c r="Y20" s="7"/>
      <c r="Z20" s="7"/>
      <c r="AA20" s="7"/>
      <c r="AB20" s="7"/>
      <c r="AC20" s="7"/>
      <c r="AD20" s="7" t="s">
        <v>1972</v>
      </c>
      <c r="AE20" s="7"/>
      <c r="AF20" s="7" t="s">
        <v>1973</v>
      </c>
      <c r="AG20" s="7"/>
      <c r="AH20" s="7"/>
      <c r="AI20" s="7" t="s">
        <v>1974</v>
      </c>
    </row>
    <row r="21" customFormat="false" ht="15.75" hidden="false" customHeight="true" outlineLevel="0" collapsed="false">
      <c r="A21" s="7"/>
      <c r="B21" s="7"/>
      <c r="C21" s="7"/>
      <c r="D21" s="7"/>
      <c r="E21" s="7" t="s">
        <v>1975</v>
      </c>
      <c r="F21" s="7"/>
      <c r="G21" s="7"/>
      <c r="H21" s="7"/>
      <c r="I21" s="7" t="s">
        <v>1976</v>
      </c>
      <c r="J21" s="7"/>
      <c r="K21" s="7"/>
      <c r="L21" s="7"/>
      <c r="M21" s="7"/>
      <c r="N21" s="7" t="s">
        <v>1977</v>
      </c>
      <c r="O21" s="7"/>
      <c r="P21" s="7"/>
      <c r="Q21" s="7" t="s">
        <v>1978</v>
      </c>
      <c r="R21" s="7" t="s">
        <v>1979</v>
      </c>
      <c r="S21" s="7"/>
      <c r="T21" s="7" t="s">
        <v>1980</v>
      </c>
      <c r="U21" s="7" t="s">
        <v>1981</v>
      </c>
      <c r="V21" s="7" t="s">
        <v>1982</v>
      </c>
      <c r="W21" s="7" t="s">
        <v>1983</v>
      </c>
      <c r="X21" s="7"/>
      <c r="Y21" s="7"/>
      <c r="Z21" s="7"/>
      <c r="AA21" s="7"/>
      <c r="AB21" s="7"/>
      <c r="AC21" s="7"/>
      <c r="AD21" s="7" t="s">
        <v>1984</v>
      </c>
      <c r="AE21" s="7"/>
      <c r="AF21" s="7" t="s">
        <v>1985</v>
      </c>
      <c r="AG21" s="7"/>
      <c r="AH21" s="7"/>
      <c r="AI21" s="7" t="s">
        <v>1986</v>
      </c>
    </row>
    <row r="22" customFormat="false" ht="15.75" hidden="false" customHeight="true" outlineLevel="0" collapsed="false">
      <c r="A22" s="7"/>
      <c r="B22" s="7"/>
      <c r="C22" s="7"/>
      <c r="D22" s="7"/>
      <c r="E22" s="7" t="s">
        <v>1987</v>
      </c>
      <c r="F22" s="7"/>
      <c r="G22" s="7"/>
      <c r="H22" s="7"/>
      <c r="I22" s="7"/>
      <c r="J22" s="7"/>
      <c r="K22" s="7"/>
      <c r="L22" s="7"/>
      <c r="M22" s="7"/>
      <c r="N22" s="7" t="s">
        <v>1988</v>
      </c>
      <c r="O22" s="7"/>
      <c r="P22" s="7"/>
      <c r="Q22" s="7" t="s">
        <v>1989</v>
      </c>
      <c r="R22" s="7" t="s">
        <v>1990</v>
      </c>
      <c r="S22" s="7"/>
      <c r="T22" s="7" t="s">
        <v>1991</v>
      </c>
      <c r="U22" s="7" t="s">
        <v>1992</v>
      </c>
      <c r="V22" s="7" t="s">
        <v>1993</v>
      </c>
      <c r="W22" s="7" t="s">
        <v>1994</v>
      </c>
      <c r="X22" s="7"/>
      <c r="Y22" s="7"/>
      <c r="Z22" s="7"/>
      <c r="AA22" s="7"/>
      <c r="AB22" s="7"/>
      <c r="AC22" s="7"/>
      <c r="AD22" s="7" t="s">
        <v>1995</v>
      </c>
      <c r="AE22" s="7"/>
      <c r="AF22" s="7" t="s">
        <v>1996</v>
      </c>
      <c r="AG22" s="7"/>
      <c r="AH22" s="7"/>
      <c r="AI22" s="7" t="s">
        <v>1997</v>
      </c>
    </row>
    <row r="23" customFormat="false" ht="15.75" hidden="false" customHeight="true" outlineLevel="0" collapsed="false">
      <c r="A23" s="7"/>
      <c r="B23" s="7"/>
      <c r="C23" s="7"/>
      <c r="D23" s="7"/>
      <c r="E23" s="7" t="s">
        <v>1998</v>
      </c>
      <c r="F23" s="7"/>
      <c r="G23" s="7"/>
      <c r="H23" s="7"/>
      <c r="I23" s="7"/>
      <c r="J23" s="7"/>
      <c r="K23" s="7"/>
      <c r="L23" s="7"/>
      <c r="M23" s="7"/>
      <c r="N23" s="7" t="s">
        <v>1999</v>
      </c>
      <c r="O23" s="7"/>
      <c r="P23" s="7"/>
      <c r="Q23" s="7" t="s">
        <v>2000</v>
      </c>
      <c r="R23" s="7" t="s">
        <v>2001</v>
      </c>
      <c r="S23" s="7"/>
      <c r="T23" s="7" t="s">
        <v>2002</v>
      </c>
      <c r="U23" s="7" t="s">
        <v>2003</v>
      </c>
      <c r="V23" s="7" t="s">
        <v>2004</v>
      </c>
      <c r="W23" s="7" t="s">
        <v>2005</v>
      </c>
      <c r="X23" s="7"/>
      <c r="Y23" s="7"/>
      <c r="Z23" s="7"/>
      <c r="AA23" s="7"/>
      <c r="AB23" s="7"/>
      <c r="AC23" s="7"/>
      <c r="AD23" s="7" t="s">
        <v>2006</v>
      </c>
      <c r="AE23" s="7"/>
      <c r="AF23" s="7" t="s">
        <v>2007</v>
      </c>
      <c r="AG23" s="7"/>
      <c r="AH23" s="7"/>
      <c r="AI23" s="7" t="s">
        <v>2008</v>
      </c>
    </row>
    <row r="24" customFormat="false" ht="15.75" hidden="false" customHeight="true" outlineLevel="0" collapsed="false">
      <c r="A24" s="7"/>
      <c r="B24" s="7"/>
      <c r="C24" s="7"/>
      <c r="D24" s="7"/>
      <c r="E24" s="7" t="s">
        <v>2009</v>
      </c>
      <c r="F24" s="7"/>
      <c r="G24" s="7"/>
      <c r="H24" s="7"/>
      <c r="I24" s="7"/>
      <c r="J24" s="7"/>
      <c r="K24" s="7"/>
      <c r="L24" s="7"/>
      <c r="M24" s="7"/>
      <c r="N24" s="7" t="s">
        <v>2010</v>
      </c>
      <c r="O24" s="7"/>
      <c r="P24" s="7"/>
      <c r="Q24" s="7" t="s">
        <v>2011</v>
      </c>
      <c r="R24" s="7" t="s">
        <v>2012</v>
      </c>
      <c r="S24" s="7"/>
      <c r="T24" s="7" t="s">
        <v>2013</v>
      </c>
      <c r="U24" s="7" t="s">
        <v>2014</v>
      </c>
      <c r="V24" s="7" t="s">
        <v>2015</v>
      </c>
      <c r="W24" s="7" t="s">
        <v>2016</v>
      </c>
      <c r="X24" s="7"/>
      <c r="Y24" s="7"/>
      <c r="Z24" s="7"/>
      <c r="AA24" s="7"/>
      <c r="AB24" s="7"/>
      <c r="AC24" s="7"/>
      <c r="AD24" s="7" t="s">
        <v>2017</v>
      </c>
      <c r="AE24" s="7"/>
      <c r="AF24" s="7" t="s">
        <v>2018</v>
      </c>
      <c r="AG24" s="7"/>
      <c r="AH24" s="7"/>
      <c r="AI24" s="7" t="s">
        <v>2019</v>
      </c>
    </row>
    <row r="25" customFormat="false" ht="15.75" hidden="false" customHeight="true" outlineLevel="0" collapsed="false">
      <c r="A25" s="7"/>
      <c r="B25" s="7"/>
      <c r="C25" s="7"/>
      <c r="D25" s="7"/>
      <c r="E25" s="7" t="s">
        <v>2020</v>
      </c>
      <c r="F25" s="7"/>
      <c r="G25" s="7"/>
      <c r="H25" s="7"/>
      <c r="I25" s="7"/>
      <c r="J25" s="7"/>
      <c r="K25" s="7"/>
      <c r="L25" s="7"/>
      <c r="M25" s="7"/>
      <c r="N25" s="7" t="s">
        <v>2021</v>
      </c>
      <c r="O25" s="7"/>
      <c r="P25" s="7"/>
      <c r="Q25" s="7" t="s">
        <v>2022</v>
      </c>
      <c r="R25" s="7" t="s">
        <v>1144</v>
      </c>
      <c r="S25" s="7"/>
      <c r="T25" s="7" t="s">
        <v>2023</v>
      </c>
      <c r="U25" s="7" t="s">
        <v>2024</v>
      </c>
      <c r="V25" s="7" t="s">
        <v>2025</v>
      </c>
      <c r="W25" s="7" t="s">
        <v>2026</v>
      </c>
      <c r="X25" s="7"/>
      <c r="Y25" s="7"/>
      <c r="Z25" s="7"/>
      <c r="AA25" s="7"/>
      <c r="AB25" s="7"/>
      <c r="AC25" s="7"/>
      <c r="AD25" s="7" t="s">
        <v>2027</v>
      </c>
      <c r="AE25" s="7"/>
      <c r="AF25" s="7" t="s">
        <v>2028</v>
      </c>
      <c r="AG25" s="7"/>
      <c r="AH25" s="7"/>
      <c r="AI25" s="7" t="s">
        <v>2029</v>
      </c>
    </row>
    <row r="26" customFormat="false" ht="15.75" hidden="false" customHeight="true" outlineLevel="0" collapsed="false">
      <c r="A26" s="7"/>
      <c r="B26" s="7"/>
      <c r="C26" s="7"/>
      <c r="D26" s="7"/>
      <c r="E26" s="7" t="s">
        <v>2030</v>
      </c>
      <c r="F26" s="7"/>
      <c r="G26" s="7"/>
      <c r="H26" s="7"/>
      <c r="I26" s="7"/>
      <c r="J26" s="7"/>
      <c r="K26" s="7"/>
      <c r="L26" s="7"/>
      <c r="M26" s="7"/>
      <c r="N26" s="7" t="s">
        <v>2031</v>
      </c>
      <c r="O26" s="7"/>
      <c r="P26" s="7"/>
      <c r="Q26" s="7" t="s">
        <v>2032</v>
      </c>
      <c r="R26" s="7" t="s">
        <v>2033</v>
      </c>
      <c r="S26" s="7"/>
      <c r="T26" s="7" t="s">
        <v>2034</v>
      </c>
      <c r="U26" s="7" t="s">
        <v>2035</v>
      </c>
      <c r="V26" s="7" t="s">
        <v>2036</v>
      </c>
      <c r="W26" s="7" t="s">
        <v>2037</v>
      </c>
      <c r="X26" s="7"/>
      <c r="Y26" s="7"/>
      <c r="Z26" s="7"/>
      <c r="AA26" s="7"/>
      <c r="AB26" s="7"/>
      <c r="AC26" s="7"/>
      <c r="AD26" s="7" t="s">
        <v>2038</v>
      </c>
      <c r="AE26" s="7"/>
      <c r="AF26" s="7" t="s">
        <v>2039</v>
      </c>
      <c r="AG26" s="7"/>
      <c r="AH26" s="7"/>
      <c r="AI26" s="7" t="s">
        <v>2040</v>
      </c>
    </row>
    <row r="27" customFormat="false" ht="15.75" hidden="false" customHeight="true" outlineLevel="0" collapsed="false">
      <c r="A27" s="7"/>
      <c r="B27" s="7"/>
      <c r="C27" s="7"/>
      <c r="D27" s="7"/>
      <c r="E27" s="7" t="s">
        <v>2041</v>
      </c>
      <c r="F27" s="7"/>
      <c r="G27" s="7"/>
      <c r="H27" s="7"/>
      <c r="I27" s="7"/>
      <c r="J27" s="7"/>
      <c r="K27" s="7"/>
      <c r="L27" s="7"/>
      <c r="M27" s="7"/>
      <c r="N27" s="7" t="s">
        <v>2042</v>
      </c>
      <c r="O27" s="7"/>
      <c r="P27" s="7"/>
      <c r="Q27" s="7" t="s">
        <v>2043</v>
      </c>
      <c r="R27" s="7" t="s">
        <v>2044</v>
      </c>
      <c r="S27" s="7"/>
      <c r="T27" s="7" t="s">
        <v>2045</v>
      </c>
      <c r="U27" s="7" t="s">
        <v>2046</v>
      </c>
      <c r="V27" s="7" t="s">
        <v>2047</v>
      </c>
      <c r="W27" s="7" t="s">
        <v>2048</v>
      </c>
      <c r="X27" s="7"/>
      <c r="Y27" s="7"/>
      <c r="Z27" s="7"/>
      <c r="AA27" s="7"/>
      <c r="AB27" s="7"/>
      <c r="AC27" s="7"/>
      <c r="AD27" s="7" t="s">
        <v>2049</v>
      </c>
      <c r="AE27" s="7"/>
      <c r="AF27" s="7" t="s">
        <v>2050</v>
      </c>
      <c r="AG27" s="7"/>
      <c r="AH27" s="7"/>
      <c r="AI27" s="7" t="s">
        <v>2051</v>
      </c>
    </row>
    <row r="28" customFormat="false" ht="15.75" hidden="false" customHeight="true" outlineLevel="0" collapsed="false">
      <c r="A28" s="7"/>
      <c r="B28" s="7"/>
      <c r="C28" s="7"/>
      <c r="D28" s="7"/>
      <c r="E28" s="7" t="s">
        <v>2052</v>
      </c>
      <c r="F28" s="7"/>
      <c r="G28" s="7"/>
      <c r="H28" s="7"/>
      <c r="I28" s="7"/>
      <c r="J28" s="7"/>
      <c r="K28" s="7"/>
      <c r="L28" s="7"/>
      <c r="M28" s="7"/>
      <c r="N28" s="7" t="s">
        <v>2053</v>
      </c>
      <c r="O28" s="7"/>
      <c r="P28" s="7"/>
      <c r="Q28" s="7" t="s">
        <v>2054</v>
      </c>
      <c r="R28" s="7" t="s">
        <v>910</v>
      </c>
      <c r="S28" s="7"/>
      <c r="T28" s="7" t="s">
        <v>2055</v>
      </c>
      <c r="U28" s="7"/>
      <c r="V28" s="7" t="s">
        <v>2056</v>
      </c>
      <c r="W28" s="7" t="s">
        <v>2057</v>
      </c>
      <c r="X28" s="7"/>
      <c r="Y28" s="7"/>
      <c r="Z28" s="7"/>
      <c r="AA28" s="7"/>
      <c r="AB28" s="7"/>
      <c r="AC28" s="7"/>
      <c r="AD28" s="7" t="s">
        <v>2058</v>
      </c>
      <c r="AE28" s="7"/>
      <c r="AF28" s="7" t="s">
        <v>2059</v>
      </c>
      <c r="AG28" s="7"/>
      <c r="AH28" s="7"/>
      <c r="AI28" s="7" t="s">
        <v>2060</v>
      </c>
    </row>
    <row r="29" customFormat="false" ht="15.75" hidden="false" customHeight="true" outlineLevel="0" collapsed="false">
      <c r="A29" s="7"/>
      <c r="B29" s="7"/>
      <c r="C29" s="7"/>
      <c r="D29" s="7"/>
      <c r="E29" s="7" t="s">
        <v>2061</v>
      </c>
      <c r="F29" s="7"/>
      <c r="G29" s="7"/>
      <c r="H29" s="7"/>
      <c r="I29" s="7"/>
      <c r="J29" s="7"/>
      <c r="K29" s="7"/>
      <c r="L29" s="7"/>
      <c r="M29" s="7"/>
      <c r="N29" s="7" t="s">
        <v>2062</v>
      </c>
      <c r="O29" s="7"/>
      <c r="P29" s="7"/>
      <c r="Q29" s="7" t="s">
        <v>2063</v>
      </c>
      <c r="R29" s="7" t="s">
        <v>2064</v>
      </c>
      <c r="S29" s="7"/>
      <c r="T29" s="7" t="s">
        <v>2065</v>
      </c>
      <c r="U29" s="7"/>
      <c r="V29" s="7" t="s">
        <v>2066</v>
      </c>
      <c r="W29" s="7" t="s">
        <v>2067</v>
      </c>
      <c r="X29" s="7"/>
      <c r="Y29" s="7"/>
      <c r="Z29" s="7"/>
      <c r="AA29" s="7"/>
      <c r="AB29" s="7"/>
      <c r="AC29" s="7"/>
      <c r="AD29" s="7" t="s">
        <v>2068</v>
      </c>
      <c r="AE29" s="7"/>
      <c r="AF29" s="7" t="s">
        <v>2069</v>
      </c>
      <c r="AG29" s="7"/>
      <c r="AH29" s="7"/>
      <c r="AI29" s="7" t="s">
        <v>2070</v>
      </c>
    </row>
    <row r="30" customFormat="false" ht="15.75" hidden="false" customHeight="true" outlineLevel="0" collapsed="false">
      <c r="A30" s="7"/>
      <c r="B30" s="7"/>
      <c r="C30" s="7"/>
      <c r="D30" s="7"/>
      <c r="E30" s="7" t="s">
        <v>2071</v>
      </c>
      <c r="F30" s="7"/>
      <c r="G30" s="7"/>
      <c r="H30" s="7"/>
      <c r="I30" s="7"/>
      <c r="J30" s="7"/>
      <c r="K30" s="7"/>
      <c r="L30" s="7"/>
      <c r="M30" s="7"/>
      <c r="N30" s="7" t="s">
        <v>2072</v>
      </c>
      <c r="O30" s="7"/>
      <c r="P30" s="7"/>
      <c r="Q30" s="7" t="s">
        <v>2073</v>
      </c>
      <c r="R30" s="7" t="s">
        <v>2074</v>
      </c>
      <c r="S30" s="7"/>
      <c r="T30" s="7" t="s">
        <v>2075</v>
      </c>
      <c r="U30" s="7"/>
      <c r="V30" s="7" t="s">
        <v>2076</v>
      </c>
      <c r="W30" s="7" t="s">
        <v>2077</v>
      </c>
      <c r="X30" s="7"/>
      <c r="Y30" s="7"/>
      <c r="Z30" s="7"/>
      <c r="AA30" s="7"/>
      <c r="AB30" s="7"/>
      <c r="AC30" s="7"/>
      <c r="AD30" s="7" t="s">
        <v>2078</v>
      </c>
      <c r="AE30" s="7"/>
      <c r="AF30" s="7" t="s">
        <v>2079</v>
      </c>
      <c r="AG30" s="7"/>
      <c r="AH30" s="7"/>
      <c r="AI30" s="7" t="s">
        <v>2080</v>
      </c>
    </row>
    <row r="31" customFormat="false" ht="15.75" hidden="false" customHeight="true" outlineLevel="0" collapsed="false">
      <c r="A31" s="7"/>
      <c r="B31" s="7"/>
      <c r="C31" s="7"/>
      <c r="D31" s="7"/>
      <c r="E31" s="7" t="s">
        <v>2081</v>
      </c>
      <c r="F31" s="7"/>
      <c r="G31" s="7"/>
      <c r="H31" s="7"/>
      <c r="I31" s="7"/>
      <c r="J31" s="7"/>
      <c r="K31" s="7"/>
      <c r="L31" s="7"/>
      <c r="M31" s="7"/>
      <c r="N31" s="7" t="s">
        <v>2082</v>
      </c>
      <c r="O31" s="7"/>
      <c r="P31" s="7"/>
      <c r="Q31" s="7" t="s">
        <v>2083</v>
      </c>
      <c r="R31" s="7" t="s">
        <v>2084</v>
      </c>
      <c r="S31" s="7"/>
      <c r="T31" s="7" t="s">
        <v>2085</v>
      </c>
      <c r="U31" s="7"/>
      <c r="V31" s="7" t="s">
        <v>2086</v>
      </c>
      <c r="W31" s="7" t="s">
        <v>2087</v>
      </c>
      <c r="X31" s="7"/>
      <c r="Y31" s="7"/>
      <c r="Z31" s="7"/>
      <c r="AA31" s="7"/>
      <c r="AB31" s="7"/>
      <c r="AC31" s="7"/>
      <c r="AD31" s="7" t="s">
        <v>2088</v>
      </c>
      <c r="AE31" s="7"/>
      <c r="AF31" s="7" t="s">
        <v>2089</v>
      </c>
      <c r="AG31" s="7"/>
      <c r="AH31" s="7"/>
      <c r="AI31" s="7" t="s">
        <v>2090</v>
      </c>
    </row>
    <row r="32" customFormat="false" ht="15.75" hidden="false" customHeight="true" outlineLevel="0" collapsed="false">
      <c r="A32" s="7"/>
      <c r="B32" s="7"/>
      <c r="C32" s="7"/>
      <c r="D32" s="7"/>
      <c r="E32" s="7" t="s">
        <v>2091</v>
      </c>
      <c r="F32" s="7"/>
      <c r="G32" s="7"/>
      <c r="H32" s="7"/>
      <c r="I32" s="7"/>
      <c r="J32" s="7"/>
      <c r="K32" s="7"/>
      <c r="L32" s="7"/>
      <c r="M32" s="7"/>
      <c r="N32" s="7" t="s">
        <v>2092</v>
      </c>
      <c r="O32" s="7"/>
      <c r="P32" s="7"/>
      <c r="Q32" s="7" t="s">
        <v>2093</v>
      </c>
      <c r="R32" s="7" t="s">
        <v>2094</v>
      </c>
      <c r="S32" s="7"/>
      <c r="T32" s="7" t="s">
        <v>2095</v>
      </c>
      <c r="U32" s="7"/>
      <c r="V32" s="7" t="s">
        <v>2096</v>
      </c>
      <c r="W32" s="7"/>
      <c r="X32" s="7"/>
      <c r="Y32" s="7"/>
      <c r="Z32" s="7"/>
      <c r="AA32" s="7"/>
      <c r="AB32" s="7"/>
      <c r="AC32" s="7"/>
      <c r="AD32" s="7" t="s">
        <v>2097</v>
      </c>
      <c r="AE32" s="7"/>
      <c r="AF32" s="7" t="s">
        <v>2098</v>
      </c>
      <c r="AG32" s="7"/>
      <c r="AH32" s="7"/>
      <c r="AI32" s="7" t="s">
        <v>2099</v>
      </c>
    </row>
    <row r="33" customFormat="false" ht="15.75" hidden="false" customHeight="true" outlineLevel="0" collapsed="false">
      <c r="A33" s="7"/>
      <c r="B33" s="7"/>
      <c r="C33" s="7"/>
      <c r="D33" s="7"/>
      <c r="E33" s="7" t="s">
        <v>2100</v>
      </c>
      <c r="F33" s="7"/>
      <c r="G33" s="7"/>
      <c r="H33" s="7"/>
      <c r="I33" s="7"/>
      <c r="J33" s="7"/>
      <c r="K33" s="7"/>
      <c r="L33" s="7"/>
      <c r="M33" s="7"/>
      <c r="N33" s="7" t="s">
        <v>2101</v>
      </c>
      <c r="O33" s="7"/>
      <c r="P33" s="7"/>
      <c r="Q33" s="7" t="s">
        <v>2102</v>
      </c>
      <c r="R33" s="7" t="s">
        <v>2103</v>
      </c>
      <c r="S33" s="7"/>
      <c r="T33" s="7" t="s">
        <v>2104</v>
      </c>
      <c r="U33" s="7"/>
      <c r="V33" s="7" t="s">
        <v>2105</v>
      </c>
      <c r="W33" s="7"/>
      <c r="X33" s="7"/>
      <c r="Y33" s="7"/>
      <c r="Z33" s="7"/>
      <c r="AA33" s="7"/>
      <c r="AB33" s="7"/>
      <c r="AC33" s="7"/>
      <c r="AD33" s="7" t="s">
        <v>2106</v>
      </c>
      <c r="AE33" s="7"/>
      <c r="AF33" s="7" t="s">
        <v>2107</v>
      </c>
      <c r="AG33" s="7"/>
      <c r="AH33" s="7"/>
      <c r="AI33" s="7" t="s">
        <v>2108</v>
      </c>
    </row>
    <row r="34" customFormat="false" ht="15.75" hidden="false" customHeight="true" outlineLevel="0" collapsed="false">
      <c r="A34" s="7"/>
      <c r="B34" s="7"/>
      <c r="C34" s="7"/>
      <c r="D34" s="7"/>
      <c r="E34" s="7" t="s">
        <v>2109</v>
      </c>
      <c r="F34" s="7"/>
      <c r="G34" s="7"/>
      <c r="H34" s="7"/>
      <c r="I34" s="7"/>
      <c r="J34" s="7"/>
      <c r="K34" s="7"/>
      <c r="L34" s="7"/>
      <c r="M34" s="7"/>
      <c r="N34" s="7" t="s">
        <v>2110</v>
      </c>
      <c r="O34" s="7"/>
      <c r="P34" s="7"/>
      <c r="Q34" s="7" t="s">
        <v>2111</v>
      </c>
      <c r="R34" s="7" t="s">
        <v>2112</v>
      </c>
      <c r="S34" s="7"/>
      <c r="T34" s="7" t="s">
        <v>2113</v>
      </c>
      <c r="U34" s="7"/>
      <c r="V34" s="7" t="s">
        <v>2114</v>
      </c>
      <c r="W34" s="7"/>
      <c r="X34" s="7"/>
      <c r="Y34" s="7"/>
      <c r="Z34" s="7"/>
      <c r="AA34" s="7"/>
      <c r="AB34" s="7"/>
      <c r="AC34" s="7"/>
      <c r="AD34" s="7" t="s">
        <v>2115</v>
      </c>
      <c r="AE34" s="7"/>
      <c r="AF34" s="7" t="s">
        <v>2116</v>
      </c>
      <c r="AG34" s="7"/>
      <c r="AH34" s="7"/>
      <c r="AI34" s="7" t="s">
        <v>2117</v>
      </c>
    </row>
    <row r="35" customFormat="false" ht="15.75" hidden="false" customHeight="true" outlineLevel="0" collapsed="false">
      <c r="A35" s="7"/>
      <c r="B35" s="7"/>
      <c r="C35" s="7"/>
      <c r="D35" s="7"/>
      <c r="E35" s="7" t="s">
        <v>2118</v>
      </c>
      <c r="F35" s="7"/>
      <c r="G35" s="7"/>
      <c r="H35" s="7"/>
      <c r="I35" s="7"/>
      <c r="J35" s="7"/>
      <c r="K35" s="7"/>
      <c r="L35" s="7"/>
      <c r="M35" s="7"/>
      <c r="N35" s="7" t="s">
        <v>2119</v>
      </c>
      <c r="O35" s="7"/>
      <c r="P35" s="7"/>
      <c r="Q35" s="7" t="s">
        <v>2120</v>
      </c>
      <c r="R35" s="7" t="s">
        <v>2121</v>
      </c>
      <c r="S35" s="7"/>
      <c r="T35" s="7" t="s">
        <v>2122</v>
      </c>
      <c r="U35" s="7"/>
      <c r="V35" s="7" t="s">
        <v>2123</v>
      </c>
      <c r="W35" s="7"/>
      <c r="X35" s="7"/>
      <c r="Y35" s="7"/>
      <c r="Z35" s="7"/>
      <c r="AA35" s="7"/>
      <c r="AB35" s="7"/>
      <c r="AC35" s="7"/>
      <c r="AD35" s="7" t="s">
        <v>2124</v>
      </c>
      <c r="AE35" s="7"/>
      <c r="AF35" s="7" t="s">
        <v>2125</v>
      </c>
      <c r="AG35" s="7"/>
      <c r="AH35" s="7"/>
      <c r="AI35" s="7" t="s">
        <v>2126</v>
      </c>
    </row>
    <row r="36" customFormat="false" ht="15.75" hidden="false" customHeight="true" outlineLevel="0" collapsed="false">
      <c r="A36" s="7"/>
      <c r="B36" s="7"/>
      <c r="C36" s="7"/>
      <c r="D36" s="7"/>
      <c r="E36" s="7" t="s">
        <v>2127</v>
      </c>
      <c r="F36" s="7"/>
      <c r="G36" s="7"/>
      <c r="H36" s="7"/>
      <c r="I36" s="7"/>
      <c r="J36" s="7"/>
      <c r="K36" s="7"/>
      <c r="L36" s="7"/>
      <c r="M36" s="7"/>
      <c r="N36" s="7" t="s">
        <v>2128</v>
      </c>
      <c r="O36" s="7"/>
      <c r="P36" s="7"/>
      <c r="Q36" s="7" t="s">
        <v>2129</v>
      </c>
      <c r="R36" s="7" t="s">
        <v>2130</v>
      </c>
      <c r="S36" s="7"/>
      <c r="T36" s="7" t="s">
        <v>2131</v>
      </c>
      <c r="U36" s="7"/>
      <c r="V36" s="7" t="s">
        <v>2132</v>
      </c>
      <c r="W36" s="7"/>
      <c r="X36" s="7"/>
      <c r="Y36" s="7"/>
      <c r="Z36" s="7"/>
      <c r="AA36" s="7"/>
      <c r="AB36" s="7"/>
      <c r="AC36" s="7"/>
      <c r="AD36" s="7" t="s">
        <v>2133</v>
      </c>
      <c r="AE36" s="7"/>
      <c r="AF36" s="7" t="s">
        <v>2134</v>
      </c>
      <c r="AG36" s="7"/>
      <c r="AH36" s="7"/>
      <c r="AI36" s="7" t="s">
        <v>2135</v>
      </c>
    </row>
    <row r="37" customFormat="false" ht="15.75" hidden="false" customHeight="true" outlineLevel="0" collapsed="false">
      <c r="A37" s="7"/>
      <c r="B37" s="7"/>
      <c r="C37" s="7"/>
      <c r="D37" s="7"/>
      <c r="E37" s="7" t="s">
        <v>2136</v>
      </c>
      <c r="F37" s="7"/>
      <c r="G37" s="7"/>
      <c r="H37" s="7"/>
      <c r="I37" s="7"/>
      <c r="J37" s="7"/>
      <c r="K37" s="7"/>
      <c r="L37" s="7"/>
      <c r="M37" s="7"/>
      <c r="N37" s="7" t="s">
        <v>2137</v>
      </c>
      <c r="O37" s="7"/>
      <c r="P37" s="7"/>
      <c r="Q37" s="7" t="s">
        <v>2138</v>
      </c>
      <c r="R37" s="7" t="s">
        <v>2139</v>
      </c>
      <c r="S37" s="7"/>
      <c r="T37" s="7" t="s">
        <v>2140</v>
      </c>
      <c r="U37" s="7"/>
      <c r="V37" s="7" t="s">
        <v>2141</v>
      </c>
      <c r="W37" s="7"/>
      <c r="X37" s="7"/>
      <c r="Y37" s="7"/>
      <c r="Z37" s="7"/>
      <c r="AA37" s="7"/>
      <c r="AB37" s="7"/>
      <c r="AC37" s="7"/>
      <c r="AD37" s="7" t="s">
        <v>2142</v>
      </c>
      <c r="AE37" s="7"/>
      <c r="AF37" s="7" t="s">
        <v>2143</v>
      </c>
      <c r="AG37" s="7"/>
      <c r="AH37" s="7"/>
      <c r="AI37" s="7" t="s">
        <v>2144</v>
      </c>
    </row>
    <row r="38" customFormat="false" ht="15.75" hidden="false" customHeight="true" outlineLevel="0" collapsed="false">
      <c r="A38" s="7"/>
      <c r="B38" s="7"/>
      <c r="C38" s="7"/>
      <c r="D38" s="7"/>
      <c r="E38" s="7" t="s">
        <v>2145</v>
      </c>
      <c r="F38" s="7"/>
      <c r="G38" s="7"/>
      <c r="H38" s="7"/>
      <c r="I38" s="7"/>
      <c r="J38" s="7"/>
      <c r="K38" s="7"/>
      <c r="L38" s="7"/>
      <c r="M38" s="7"/>
      <c r="N38" s="7" t="s">
        <v>2146</v>
      </c>
      <c r="O38" s="7"/>
      <c r="P38" s="7"/>
      <c r="Q38" s="7" t="s">
        <v>2147</v>
      </c>
      <c r="R38" s="7" t="s">
        <v>2148</v>
      </c>
      <c r="S38" s="7"/>
      <c r="T38" s="7" t="s">
        <v>2149</v>
      </c>
      <c r="U38" s="7"/>
      <c r="V38" s="7" t="s">
        <v>2150</v>
      </c>
      <c r="W38" s="7"/>
      <c r="X38" s="7"/>
      <c r="Y38" s="7"/>
      <c r="Z38" s="7"/>
      <c r="AA38" s="7"/>
      <c r="AB38" s="7"/>
      <c r="AC38" s="7"/>
      <c r="AD38" s="7" t="s">
        <v>2151</v>
      </c>
      <c r="AE38" s="7"/>
      <c r="AF38" s="7" t="s">
        <v>2152</v>
      </c>
      <c r="AG38" s="7"/>
      <c r="AH38" s="7"/>
      <c r="AI38" s="7" t="s">
        <v>2153</v>
      </c>
    </row>
    <row r="39" customFormat="false" ht="15.75" hidden="false" customHeight="true" outlineLevel="0" collapsed="false">
      <c r="A39" s="7"/>
      <c r="B39" s="7"/>
      <c r="C39" s="7"/>
      <c r="D39" s="7"/>
      <c r="E39" s="7" t="s">
        <v>2154</v>
      </c>
      <c r="F39" s="7"/>
      <c r="G39" s="7"/>
      <c r="H39" s="7"/>
      <c r="I39" s="7"/>
      <c r="J39" s="7"/>
      <c r="K39" s="7"/>
      <c r="L39" s="7"/>
      <c r="M39" s="7"/>
      <c r="N39" s="7" t="s">
        <v>2155</v>
      </c>
      <c r="O39" s="7"/>
      <c r="P39" s="7"/>
      <c r="Q39" s="7" t="s">
        <v>2156</v>
      </c>
      <c r="R39" s="7" t="s">
        <v>2157</v>
      </c>
      <c r="S39" s="7"/>
      <c r="T39" s="7" t="s">
        <v>2158</v>
      </c>
      <c r="U39" s="7"/>
      <c r="V39" s="7" t="s">
        <v>2159</v>
      </c>
      <c r="W39" s="7"/>
      <c r="X39" s="7"/>
      <c r="Y39" s="7"/>
      <c r="Z39" s="7"/>
      <c r="AA39" s="7"/>
      <c r="AB39" s="7"/>
      <c r="AC39" s="7"/>
      <c r="AD39" s="7" t="s">
        <v>2160</v>
      </c>
      <c r="AE39" s="7"/>
      <c r="AF39" s="7" t="s">
        <v>2161</v>
      </c>
      <c r="AG39" s="7"/>
      <c r="AH39" s="7"/>
      <c r="AI39" s="7" t="s">
        <v>2162</v>
      </c>
    </row>
    <row r="40" customFormat="false" ht="15.75" hidden="false" customHeight="true" outlineLevel="0" collapsed="false">
      <c r="A40" s="7"/>
      <c r="B40" s="7"/>
      <c r="C40" s="7"/>
      <c r="D40" s="7"/>
      <c r="E40" s="7" t="s">
        <v>2163</v>
      </c>
      <c r="F40" s="7"/>
      <c r="G40" s="7"/>
      <c r="H40" s="7"/>
      <c r="I40" s="7"/>
      <c r="J40" s="7"/>
      <c r="K40" s="7"/>
      <c r="L40" s="7"/>
      <c r="M40" s="7"/>
      <c r="N40" s="7" t="s">
        <v>2164</v>
      </c>
      <c r="O40" s="7"/>
      <c r="P40" s="7"/>
      <c r="Q40" s="7" t="s">
        <v>2165</v>
      </c>
      <c r="R40" s="7" t="s">
        <v>2166</v>
      </c>
      <c r="S40" s="7"/>
      <c r="T40" s="7" t="s">
        <v>2167</v>
      </c>
      <c r="U40" s="7"/>
      <c r="V40" s="7" t="s">
        <v>2168</v>
      </c>
      <c r="W40" s="7"/>
      <c r="X40" s="7"/>
      <c r="Y40" s="7"/>
      <c r="Z40" s="7"/>
      <c r="AA40" s="7"/>
      <c r="AB40" s="7"/>
      <c r="AC40" s="7"/>
      <c r="AD40" s="7" t="s">
        <v>2169</v>
      </c>
      <c r="AE40" s="7"/>
      <c r="AF40" s="7" t="s">
        <v>2170</v>
      </c>
      <c r="AG40" s="7"/>
      <c r="AH40" s="7"/>
      <c r="AI40" s="7" t="s">
        <v>2171</v>
      </c>
    </row>
    <row r="41" customFormat="false" ht="15.75" hidden="false" customHeight="true" outlineLevel="0" collapsed="false">
      <c r="A41" s="7"/>
      <c r="B41" s="7"/>
      <c r="C41" s="7"/>
      <c r="D41" s="7"/>
      <c r="E41" s="7" t="s">
        <v>2172</v>
      </c>
      <c r="F41" s="7"/>
      <c r="G41" s="7"/>
      <c r="H41" s="7"/>
      <c r="I41" s="7"/>
      <c r="J41" s="7"/>
      <c r="K41" s="7"/>
      <c r="L41" s="7"/>
      <c r="M41" s="7"/>
      <c r="N41" s="7" t="s">
        <v>2173</v>
      </c>
      <c r="O41" s="7"/>
      <c r="P41" s="7"/>
      <c r="Q41" s="7" t="s">
        <v>2174</v>
      </c>
      <c r="R41" s="7" t="s">
        <v>2175</v>
      </c>
      <c r="S41" s="7"/>
      <c r="T41" s="7" t="s">
        <v>2176</v>
      </c>
      <c r="U41" s="7"/>
      <c r="V41" s="7" t="s">
        <v>2177</v>
      </c>
      <c r="W41" s="7"/>
      <c r="X41" s="7"/>
      <c r="Y41" s="7"/>
      <c r="Z41" s="7"/>
      <c r="AA41" s="7"/>
      <c r="AB41" s="7"/>
      <c r="AC41" s="7"/>
      <c r="AD41" s="7" t="s">
        <v>2178</v>
      </c>
      <c r="AE41" s="7"/>
      <c r="AF41" s="7" t="s">
        <v>2179</v>
      </c>
      <c r="AG41" s="7"/>
      <c r="AH41" s="7"/>
      <c r="AI41" s="7" t="s">
        <v>2180</v>
      </c>
    </row>
    <row r="42" customFormat="false" ht="15.75" hidden="false" customHeight="true" outlineLevel="0" collapsed="false">
      <c r="A42" s="7"/>
      <c r="B42" s="7"/>
      <c r="C42" s="7"/>
      <c r="D42" s="7"/>
      <c r="E42" s="7" t="s">
        <v>2181</v>
      </c>
      <c r="F42" s="7"/>
      <c r="G42" s="7"/>
      <c r="H42" s="7"/>
      <c r="I42" s="7"/>
      <c r="J42" s="7"/>
      <c r="K42" s="7"/>
      <c r="L42" s="7"/>
      <c r="M42" s="7"/>
      <c r="N42" s="7" t="s">
        <v>2182</v>
      </c>
      <c r="O42" s="7"/>
      <c r="P42" s="7"/>
      <c r="Q42" s="7" t="s">
        <v>2183</v>
      </c>
      <c r="R42" s="7" t="s">
        <v>2184</v>
      </c>
      <c r="S42" s="7"/>
      <c r="T42" s="7" t="s">
        <v>2185</v>
      </c>
      <c r="U42" s="7"/>
      <c r="V42" s="7" t="s">
        <v>2186</v>
      </c>
      <c r="W42" s="7"/>
      <c r="X42" s="7"/>
      <c r="Y42" s="7"/>
      <c r="Z42" s="7"/>
      <c r="AA42" s="7"/>
      <c r="AB42" s="7"/>
      <c r="AC42" s="7"/>
      <c r="AD42" s="7" t="s">
        <v>2187</v>
      </c>
      <c r="AE42" s="7"/>
      <c r="AF42" s="7" t="s">
        <v>2188</v>
      </c>
      <c r="AG42" s="7"/>
      <c r="AH42" s="7"/>
      <c r="AI42" s="7" t="s">
        <v>2189</v>
      </c>
    </row>
    <row r="43" customFormat="false" ht="15.75" hidden="false" customHeight="true" outlineLevel="0" collapsed="false">
      <c r="A43" s="7"/>
      <c r="B43" s="7"/>
      <c r="C43" s="7"/>
      <c r="D43" s="7"/>
      <c r="E43" s="7" t="s">
        <v>2190</v>
      </c>
      <c r="F43" s="7"/>
      <c r="G43" s="7"/>
      <c r="H43" s="7"/>
      <c r="I43" s="7"/>
      <c r="J43" s="7"/>
      <c r="K43" s="7"/>
      <c r="L43" s="7"/>
      <c r="M43" s="7"/>
      <c r="N43" s="7" t="s">
        <v>2191</v>
      </c>
      <c r="O43" s="7"/>
      <c r="P43" s="7"/>
      <c r="Q43" s="7" t="s">
        <v>2192</v>
      </c>
      <c r="R43" s="7" t="s">
        <v>2193</v>
      </c>
      <c r="S43" s="7"/>
      <c r="T43" s="7" t="s">
        <v>2194</v>
      </c>
      <c r="U43" s="7"/>
      <c r="V43" s="7" t="s">
        <v>2195</v>
      </c>
      <c r="W43" s="7"/>
      <c r="X43" s="7"/>
      <c r="Y43" s="7"/>
      <c r="Z43" s="7"/>
      <c r="AA43" s="7"/>
      <c r="AB43" s="7"/>
      <c r="AC43" s="7"/>
      <c r="AD43" s="7" t="s">
        <v>2196</v>
      </c>
      <c r="AE43" s="7"/>
      <c r="AF43" s="7" t="s">
        <v>2197</v>
      </c>
      <c r="AG43" s="7"/>
      <c r="AH43" s="7"/>
      <c r="AI43" s="7" t="s">
        <v>2198</v>
      </c>
    </row>
    <row r="44" customFormat="false" ht="15.75" hidden="false" customHeight="true" outlineLevel="0" collapsed="false">
      <c r="A44" s="7"/>
      <c r="B44" s="7"/>
      <c r="C44" s="7"/>
      <c r="D44" s="7"/>
      <c r="E44" s="7" t="s">
        <v>2199</v>
      </c>
      <c r="F44" s="7"/>
      <c r="G44" s="7"/>
      <c r="H44" s="7"/>
      <c r="I44" s="7"/>
      <c r="J44" s="7"/>
      <c r="K44" s="7"/>
      <c r="L44" s="7"/>
      <c r="M44" s="7"/>
      <c r="N44" s="7" t="s">
        <v>2200</v>
      </c>
      <c r="O44" s="7"/>
      <c r="P44" s="7"/>
      <c r="Q44" s="7" t="s">
        <v>2201</v>
      </c>
      <c r="R44" s="7" t="s">
        <v>2202</v>
      </c>
      <c r="S44" s="7"/>
      <c r="T44" s="7" t="s">
        <v>2203</v>
      </c>
      <c r="U44" s="7"/>
      <c r="V44" s="7" t="s">
        <v>2204</v>
      </c>
      <c r="W44" s="7"/>
      <c r="X44" s="7"/>
      <c r="Y44" s="7"/>
      <c r="Z44" s="7"/>
      <c r="AA44" s="7"/>
      <c r="AB44" s="7"/>
      <c r="AC44" s="7"/>
      <c r="AD44" s="7" t="s">
        <v>2205</v>
      </c>
      <c r="AE44" s="7"/>
      <c r="AF44" s="7" t="s">
        <v>2206</v>
      </c>
      <c r="AG44" s="7"/>
      <c r="AH44" s="7"/>
      <c r="AI44" s="7" t="s">
        <v>2207</v>
      </c>
    </row>
    <row r="45" customFormat="false" ht="15.75" hidden="false" customHeight="true" outlineLevel="0" collapsed="false">
      <c r="A45" s="7"/>
      <c r="B45" s="7"/>
      <c r="C45" s="7"/>
      <c r="D45" s="7"/>
      <c r="E45" s="7" t="s">
        <v>2208</v>
      </c>
      <c r="F45" s="7"/>
      <c r="G45" s="7"/>
      <c r="H45" s="7"/>
      <c r="I45" s="7"/>
      <c r="J45" s="7"/>
      <c r="K45" s="7"/>
      <c r="L45" s="7"/>
      <c r="M45" s="7"/>
      <c r="N45" s="7" t="s">
        <v>2209</v>
      </c>
      <c r="O45" s="7"/>
      <c r="P45" s="7"/>
      <c r="Q45" s="7" t="s">
        <v>2210</v>
      </c>
      <c r="R45" s="7" t="s">
        <v>2211</v>
      </c>
      <c r="S45" s="7"/>
      <c r="T45" s="7" t="s">
        <v>2212</v>
      </c>
      <c r="U45" s="7"/>
      <c r="V45" s="7" t="s">
        <v>2213</v>
      </c>
      <c r="W45" s="7"/>
      <c r="X45" s="7"/>
      <c r="Y45" s="7"/>
      <c r="Z45" s="7"/>
      <c r="AA45" s="7"/>
      <c r="AB45" s="7"/>
      <c r="AC45" s="7"/>
      <c r="AD45" s="7" t="s">
        <v>2214</v>
      </c>
      <c r="AE45" s="7"/>
      <c r="AF45" s="7" t="s">
        <v>2215</v>
      </c>
      <c r="AG45" s="7"/>
      <c r="AH45" s="7"/>
      <c r="AI45" s="7" t="s">
        <v>2216</v>
      </c>
    </row>
    <row r="46" customFormat="false" ht="15.75" hidden="false" customHeight="true" outlineLevel="0" collapsed="false">
      <c r="A46" s="7"/>
      <c r="B46" s="7"/>
      <c r="C46" s="7"/>
      <c r="D46" s="7"/>
      <c r="E46" s="7" t="s">
        <v>2217</v>
      </c>
      <c r="F46" s="7"/>
      <c r="G46" s="7"/>
      <c r="H46" s="7"/>
      <c r="I46" s="7"/>
      <c r="J46" s="7"/>
      <c r="K46" s="7"/>
      <c r="L46" s="7"/>
      <c r="M46" s="7"/>
      <c r="N46" s="7" t="s">
        <v>2218</v>
      </c>
      <c r="O46" s="7"/>
      <c r="P46" s="7"/>
      <c r="Q46" s="7" t="s">
        <v>2219</v>
      </c>
      <c r="R46" s="7" t="s">
        <v>2220</v>
      </c>
      <c r="S46" s="7"/>
      <c r="T46" s="7" t="s">
        <v>2221</v>
      </c>
      <c r="U46" s="7"/>
      <c r="V46" s="7" t="s">
        <v>2222</v>
      </c>
      <c r="W46" s="7"/>
      <c r="X46" s="7"/>
      <c r="Y46" s="7"/>
      <c r="Z46" s="7"/>
      <c r="AA46" s="7"/>
      <c r="AB46" s="7"/>
      <c r="AC46" s="7"/>
      <c r="AD46" s="7" t="s">
        <v>2223</v>
      </c>
      <c r="AE46" s="7"/>
      <c r="AF46" s="7" t="s">
        <v>2224</v>
      </c>
      <c r="AG46" s="7"/>
      <c r="AH46" s="7"/>
      <c r="AI46" s="7" t="s">
        <v>2225</v>
      </c>
    </row>
    <row r="47" customFormat="false" ht="15.75" hidden="false" customHeight="true" outlineLevel="0" collapsed="false">
      <c r="A47" s="7"/>
      <c r="B47" s="7"/>
      <c r="C47" s="7"/>
      <c r="D47" s="7"/>
      <c r="E47" s="7" t="s">
        <v>2226</v>
      </c>
      <c r="F47" s="7"/>
      <c r="G47" s="7"/>
      <c r="H47" s="7"/>
      <c r="I47" s="7"/>
      <c r="J47" s="7"/>
      <c r="K47" s="7"/>
      <c r="L47" s="7"/>
      <c r="M47" s="7"/>
      <c r="N47" s="7" t="s">
        <v>2227</v>
      </c>
      <c r="O47" s="7"/>
      <c r="P47" s="7"/>
      <c r="Q47" s="7" t="s">
        <v>2228</v>
      </c>
      <c r="R47" s="7" t="s">
        <v>2229</v>
      </c>
      <c r="S47" s="7"/>
      <c r="T47" s="7" t="s">
        <v>1941</v>
      </c>
      <c r="U47" s="7"/>
      <c r="V47" s="7" t="s">
        <v>2230</v>
      </c>
      <c r="W47" s="7"/>
      <c r="X47" s="7"/>
      <c r="Y47" s="7"/>
      <c r="Z47" s="7"/>
      <c r="AA47" s="7"/>
      <c r="AB47" s="7"/>
      <c r="AC47" s="7"/>
      <c r="AD47" s="7" t="s">
        <v>2231</v>
      </c>
      <c r="AE47" s="7"/>
      <c r="AF47" s="7" t="s">
        <v>2232</v>
      </c>
      <c r="AG47" s="7"/>
      <c r="AH47" s="7"/>
      <c r="AI47" s="7" t="s">
        <v>2233</v>
      </c>
    </row>
    <row r="48" customFormat="false" ht="15.75" hidden="false" customHeight="true" outlineLevel="0" collapsed="false">
      <c r="A48" s="7"/>
      <c r="B48" s="7"/>
      <c r="C48" s="7"/>
      <c r="D48" s="7"/>
      <c r="E48" s="7" t="s">
        <v>2234</v>
      </c>
      <c r="F48" s="7"/>
      <c r="G48" s="7"/>
      <c r="H48" s="7"/>
      <c r="I48" s="7"/>
      <c r="J48" s="7"/>
      <c r="K48" s="7"/>
      <c r="L48" s="7"/>
      <c r="M48" s="7"/>
      <c r="N48" s="7" t="s">
        <v>2235</v>
      </c>
      <c r="O48" s="7"/>
      <c r="P48" s="7"/>
      <c r="Q48" s="7" t="s">
        <v>2236</v>
      </c>
      <c r="R48" s="7" t="s">
        <v>2237</v>
      </c>
      <c r="S48" s="7"/>
      <c r="T48" s="7" t="s">
        <v>375</v>
      </c>
      <c r="U48" s="7"/>
      <c r="V48" s="7" t="s">
        <v>2238</v>
      </c>
      <c r="W48" s="7"/>
      <c r="X48" s="7"/>
      <c r="Y48" s="7"/>
      <c r="Z48" s="7"/>
      <c r="AA48" s="7"/>
      <c r="AB48" s="7"/>
      <c r="AC48" s="7"/>
      <c r="AD48" s="7" t="s">
        <v>2239</v>
      </c>
      <c r="AE48" s="7"/>
      <c r="AF48" s="7" t="s">
        <v>2240</v>
      </c>
      <c r="AG48" s="7"/>
      <c r="AH48" s="7"/>
      <c r="AI48" s="7" t="s">
        <v>2241</v>
      </c>
    </row>
    <row r="49" customFormat="false" ht="15.75" hidden="false" customHeight="true" outlineLevel="0" collapsed="false">
      <c r="A49" s="7"/>
      <c r="B49" s="7"/>
      <c r="C49" s="7"/>
      <c r="D49" s="7"/>
      <c r="E49" s="7" t="s">
        <v>2242</v>
      </c>
      <c r="F49" s="7"/>
      <c r="G49" s="7"/>
      <c r="H49" s="7"/>
      <c r="I49" s="7"/>
      <c r="J49" s="7"/>
      <c r="K49" s="7"/>
      <c r="L49" s="7"/>
      <c r="M49" s="7"/>
      <c r="N49" s="7" t="s">
        <v>2117</v>
      </c>
      <c r="O49" s="7"/>
      <c r="P49" s="7"/>
      <c r="Q49" s="7" t="s">
        <v>2243</v>
      </c>
      <c r="R49" s="7" t="s">
        <v>2244</v>
      </c>
      <c r="S49" s="7"/>
      <c r="T49" s="7" t="s">
        <v>2245</v>
      </c>
      <c r="U49" s="7"/>
      <c r="V49" s="7" t="s">
        <v>2246</v>
      </c>
      <c r="W49" s="7"/>
      <c r="X49" s="7"/>
      <c r="Y49" s="7"/>
      <c r="Z49" s="7"/>
      <c r="AA49" s="7"/>
      <c r="AB49" s="7"/>
      <c r="AC49" s="7"/>
      <c r="AD49" s="7" t="s">
        <v>2247</v>
      </c>
      <c r="AE49" s="7"/>
      <c r="AF49" s="7" t="s">
        <v>2248</v>
      </c>
      <c r="AG49" s="7"/>
      <c r="AH49" s="7"/>
      <c r="AI49" s="7" t="s">
        <v>2249</v>
      </c>
    </row>
    <row r="50" customFormat="false" ht="15.75" hidden="false" customHeight="true" outlineLevel="0" collapsed="false">
      <c r="A50" s="7"/>
      <c r="B50" s="7"/>
      <c r="C50" s="7"/>
      <c r="D50" s="7"/>
      <c r="E50" s="7" t="s">
        <v>2250</v>
      </c>
      <c r="F50" s="7"/>
      <c r="G50" s="7"/>
      <c r="H50" s="7"/>
      <c r="I50" s="7"/>
      <c r="J50" s="7"/>
      <c r="K50" s="7"/>
      <c r="L50" s="7"/>
      <c r="M50" s="7"/>
      <c r="N50" s="7" t="s">
        <v>2251</v>
      </c>
      <c r="O50" s="7"/>
      <c r="P50" s="7"/>
      <c r="Q50" s="7" t="s">
        <v>2252</v>
      </c>
      <c r="R50" s="7" t="s">
        <v>2253</v>
      </c>
      <c r="S50" s="7"/>
      <c r="T50" s="7" t="s">
        <v>2254</v>
      </c>
      <c r="U50" s="7"/>
      <c r="V50" s="7" t="s">
        <v>2255</v>
      </c>
      <c r="W50" s="7"/>
      <c r="X50" s="7"/>
      <c r="Y50" s="7"/>
      <c r="Z50" s="7"/>
      <c r="AA50" s="7"/>
      <c r="AB50" s="7"/>
      <c r="AC50" s="7"/>
      <c r="AD50" s="7" t="s">
        <v>2256</v>
      </c>
      <c r="AE50" s="7"/>
      <c r="AF50" s="7" t="s">
        <v>2257</v>
      </c>
      <c r="AG50" s="7"/>
      <c r="AH50" s="7"/>
      <c r="AI50" s="7" t="s">
        <v>2258</v>
      </c>
    </row>
    <row r="51" customFormat="false" ht="15.75" hidden="false" customHeight="true" outlineLevel="0" collapsed="false">
      <c r="A51" s="7"/>
      <c r="B51" s="7"/>
      <c r="C51" s="7"/>
      <c r="D51" s="7"/>
      <c r="E51" s="7" t="s">
        <v>2259</v>
      </c>
      <c r="F51" s="7"/>
      <c r="G51" s="7"/>
      <c r="H51" s="7"/>
      <c r="I51" s="7"/>
      <c r="J51" s="7"/>
      <c r="K51" s="7"/>
      <c r="L51" s="7"/>
      <c r="M51" s="7"/>
      <c r="N51" s="7" t="s">
        <v>2260</v>
      </c>
      <c r="O51" s="7"/>
      <c r="P51" s="7"/>
      <c r="Q51" s="7" t="s">
        <v>2261</v>
      </c>
      <c r="R51" s="7" t="s">
        <v>2262</v>
      </c>
      <c r="S51" s="7"/>
      <c r="T51" s="7" t="s">
        <v>2263</v>
      </c>
      <c r="U51" s="7"/>
      <c r="V51" s="7" t="s">
        <v>2264</v>
      </c>
      <c r="W51" s="7"/>
      <c r="X51" s="7"/>
      <c r="Y51" s="7"/>
      <c r="Z51" s="7"/>
      <c r="AA51" s="7"/>
      <c r="AB51" s="7"/>
      <c r="AC51" s="7"/>
      <c r="AD51" s="7" t="s">
        <v>2265</v>
      </c>
      <c r="AE51" s="7"/>
      <c r="AF51" s="7" t="s">
        <v>2266</v>
      </c>
      <c r="AG51" s="7"/>
      <c r="AH51" s="7"/>
      <c r="AI51" s="7" t="s">
        <v>2267</v>
      </c>
    </row>
    <row r="52" customFormat="false" ht="15.75" hidden="false" customHeight="true" outlineLevel="0" collapsed="false">
      <c r="A52" s="7"/>
      <c r="B52" s="7"/>
      <c r="C52" s="7"/>
      <c r="D52" s="7"/>
      <c r="E52" s="7" t="s">
        <v>2268</v>
      </c>
      <c r="F52" s="7"/>
      <c r="G52" s="7"/>
      <c r="H52" s="7"/>
      <c r="I52" s="7"/>
      <c r="J52" s="7"/>
      <c r="K52" s="7"/>
      <c r="L52" s="7"/>
      <c r="M52" s="7"/>
      <c r="N52" s="7" t="s">
        <v>2269</v>
      </c>
      <c r="O52" s="7"/>
      <c r="P52" s="7"/>
      <c r="Q52" s="7" t="s">
        <v>2270</v>
      </c>
      <c r="R52" s="7" t="s">
        <v>2271</v>
      </c>
      <c r="S52" s="7"/>
      <c r="T52" s="7" t="s">
        <v>2272</v>
      </c>
      <c r="U52" s="7"/>
      <c r="V52" s="7" t="s">
        <v>2273</v>
      </c>
      <c r="W52" s="7"/>
      <c r="X52" s="7"/>
      <c r="Y52" s="7"/>
      <c r="Z52" s="7"/>
      <c r="AA52" s="7"/>
      <c r="AB52" s="7"/>
      <c r="AC52" s="7"/>
      <c r="AD52" s="7" t="s">
        <v>2274</v>
      </c>
      <c r="AE52" s="7"/>
      <c r="AF52" s="7" t="s">
        <v>2275</v>
      </c>
      <c r="AG52" s="7"/>
      <c r="AH52" s="7"/>
      <c r="AI52" s="7" t="s">
        <v>2276</v>
      </c>
    </row>
    <row r="53" customFormat="false" ht="15.75" hidden="false" customHeight="true" outlineLevel="0" collapsed="false">
      <c r="A53" s="7"/>
      <c r="B53" s="7"/>
      <c r="C53" s="7"/>
      <c r="D53" s="7"/>
      <c r="E53" s="7" t="s">
        <v>2277</v>
      </c>
      <c r="F53" s="7"/>
      <c r="G53" s="7"/>
      <c r="H53" s="7"/>
      <c r="I53" s="7"/>
      <c r="J53" s="7"/>
      <c r="K53" s="7"/>
      <c r="L53" s="7"/>
      <c r="M53" s="7"/>
      <c r="N53" s="7" t="s">
        <v>2278</v>
      </c>
      <c r="O53" s="7"/>
      <c r="P53" s="7"/>
      <c r="Q53" s="7" t="s">
        <v>2279</v>
      </c>
      <c r="R53" s="7" t="s">
        <v>2280</v>
      </c>
      <c r="S53" s="7"/>
      <c r="T53" s="7" t="s">
        <v>2281</v>
      </c>
      <c r="U53" s="7"/>
      <c r="V53" s="7" t="s">
        <v>2282</v>
      </c>
      <c r="W53" s="7"/>
      <c r="X53" s="7"/>
      <c r="Y53" s="7"/>
      <c r="Z53" s="7"/>
      <c r="AA53" s="7"/>
      <c r="AB53" s="7"/>
      <c r="AC53" s="7"/>
      <c r="AD53" s="7" t="s">
        <v>2283</v>
      </c>
      <c r="AE53" s="7"/>
      <c r="AF53" s="7" t="s">
        <v>2284</v>
      </c>
      <c r="AG53" s="7"/>
      <c r="AH53" s="7"/>
      <c r="AI53" s="7" t="s">
        <v>2285</v>
      </c>
    </row>
    <row r="54" customFormat="false" ht="15.75" hidden="false" customHeight="true" outlineLevel="0" collapsed="false">
      <c r="A54" s="7"/>
      <c r="B54" s="7"/>
      <c r="C54" s="7"/>
      <c r="D54" s="7"/>
      <c r="E54" s="7" t="s">
        <v>2286</v>
      </c>
      <c r="F54" s="7"/>
      <c r="G54" s="7"/>
      <c r="H54" s="7"/>
      <c r="I54" s="7"/>
      <c r="J54" s="7"/>
      <c r="K54" s="7"/>
      <c r="L54" s="7"/>
      <c r="M54" s="7"/>
      <c r="N54" s="7" t="s">
        <v>2287</v>
      </c>
      <c r="O54" s="7"/>
      <c r="P54" s="7"/>
      <c r="Q54" s="7" t="s">
        <v>2288</v>
      </c>
      <c r="R54" s="7" t="s">
        <v>2289</v>
      </c>
      <c r="S54" s="7"/>
      <c r="T54" s="7" t="s">
        <v>2290</v>
      </c>
      <c r="U54" s="7"/>
      <c r="V54" s="7" t="s">
        <v>2291</v>
      </c>
      <c r="W54" s="7"/>
      <c r="X54" s="7"/>
      <c r="Y54" s="7"/>
      <c r="Z54" s="7"/>
      <c r="AA54" s="7"/>
      <c r="AB54" s="7"/>
      <c r="AC54" s="7"/>
      <c r="AD54" s="7" t="s">
        <v>2292</v>
      </c>
      <c r="AE54" s="7"/>
      <c r="AF54" s="7" t="s">
        <v>2293</v>
      </c>
      <c r="AG54" s="7"/>
      <c r="AH54" s="7"/>
      <c r="AI54" s="7" t="s">
        <v>2294</v>
      </c>
    </row>
    <row r="55" customFormat="false" ht="15.75" hidden="false" customHeight="true" outlineLevel="0" collapsed="false">
      <c r="A55" s="7"/>
      <c r="B55" s="7"/>
      <c r="C55" s="7"/>
      <c r="D55" s="7"/>
      <c r="E55" s="7" t="s">
        <v>2295</v>
      </c>
      <c r="F55" s="7"/>
      <c r="G55" s="7"/>
      <c r="H55" s="7"/>
      <c r="I55" s="7"/>
      <c r="J55" s="7"/>
      <c r="K55" s="7"/>
      <c r="L55" s="7"/>
      <c r="M55" s="7"/>
      <c r="N55" s="7" t="s">
        <v>2296</v>
      </c>
      <c r="O55" s="7"/>
      <c r="P55" s="7"/>
      <c r="Q55" s="7" t="s">
        <v>2297</v>
      </c>
      <c r="R55" s="7" t="s">
        <v>2298</v>
      </c>
      <c r="S55" s="7"/>
      <c r="T55" s="7" t="s">
        <v>2299</v>
      </c>
      <c r="U55" s="7"/>
      <c r="V55" s="7" t="s">
        <v>2300</v>
      </c>
      <c r="W55" s="7"/>
      <c r="X55" s="7"/>
      <c r="Y55" s="7"/>
      <c r="Z55" s="7"/>
      <c r="AA55" s="7"/>
      <c r="AB55" s="7"/>
      <c r="AC55" s="7"/>
      <c r="AD55" s="7" t="s">
        <v>2301</v>
      </c>
      <c r="AE55" s="7"/>
      <c r="AF55" s="7" t="s">
        <v>2302</v>
      </c>
      <c r="AG55" s="7"/>
      <c r="AH55" s="7"/>
      <c r="AI55" s="7" t="s">
        <v>2303</v>
      </c>
    </row>
    <row r="56" customFormat="false" ht="15.75" hidden="false" customHeight="true" outlineLevel="0" collapsed="false">
      <c r="A56" s="7"/>
      <c r="B56" s="7"/>
      <c r="C56" s="7"/>
      <c r="D56" s="7"/>
      <c r="E56" s="7" t="s">
        <v>2304</v>
      </c>
      <c r="F56" s="7"/>
      <c r="G56" s="7"/>
      <c r="H56" s="7"/>
      <c r="I56" s="7"/>
      <c r="J56" s="7"/>
      <c r="K56" s="7"/>
      <c r="L56" s="7"/>
      <c r="M56" s="7"/>
      <c r="N56" s="7" t="s">
        <v>2305</v>
      </c>
      <c r="O56" s="7"/>
      <c r="P56" s="7"/>
      <c r="Q56" s="7" t="s">
        <v>2306</v>
      </c>
      <c r="R56" s="7" t="s">
        <v>2307</v>
      </c>
      <c r="S56" s="7"/>
      <c r="T56" s="7" t="s">
        <v>2308</v>
      </c>
      <c r="U56" s="7"/>
      <c r="V56" s="7" t="s">
        <v>2309</v>
      </c>
      <c r="W56" s="7"/>
      <c r="X56" s="7"/>
      <c r="Y56" s="7"/>
      <c r="Z56" s="7"/>
      <c r="AA56" s="7"/>
      <c r="AB56" s="7"/>
      <c r="AC56" s="7"/>
      <c r="AD56" s="7" t="s">
        <v>2310</v>
      </c>
      <c r="AE56" s="7"/>
      <c r="AF56" s="7" t="s">
        <v>2311</v>
      </c>
      <c r="AG56" s="7"/>
      <c r="AH56" s="7"/>
      <c r="AI56" s="7" t="s">
        <v>2312</v>
      </c>
    </row>
    <row r="57" customFormat="false" ht="15.75" hidden="false" customHeight="true" outlineLevel="0" collapsed="false">
      <c r="A57" s="7"/>
      <c r="B57" s="7"/>
      <c r="C57" s="7"/>
      <c r="D57" s="7"/>
      <c r="E57" s="7" t="s">
        <v>2313</v>
      </c>
      <c r="F57" s="7"/>
      <c r="G57" s="7"/>
      <c r="H57" s="7"/>
      <c r="I57" s="7"/>
      <c r="J57" s="7"/>
      <c r="K57" s="7"/>
      <c r="L57" s="7"/>
      <c r="M57" s="7"/>
      <c r="N57" s="7" t="s">
        <v>2314</v>
      </c>
      <c r="O57" s="7"/>
      <c r="P57" s="7"/>
      <c r="Q57" s="7" t="s">
        <v>2315</v>
      </c>
      <c r="R57" s="7" t="s">
        <v>2316</v>
      </c>
      <c r="S57" s="7"/>
      <c r="T57" s="7" t="s">
        <v>2317</v>
      </c>
      <c r="U57" s="7"/>
      <c r="V57" s="7" t="s">
        <v>2318</v>
      </c>
      <c r="W57" s="7"/>
      <c r="X57" s="7"/>
      <c r="Y57" s="7"/>
      <c r="Z57" s="7"/>
      <c r="AA57" s="7"/>
      <c r="AB57" s="7"/>
      <c r="AC57" s="7"/>
      <c r="AD57" s="7" t="s">
        <v>2319</v>
      </c>
      <c r="AE57" s="7"/>
      <c r="AF57" s="7" t="s">
        <v>2320</v>
      </c>
      <c r="AG57" s="7"/>
      <c r="AH57" s="7"/>
      <c r="AI57" s="7" t="s">
        <v>2321</v>
      </c>
    </row>
    <row r="58" customFormat="false" ht="15.75" hidden="false" customHeight="true" outlineLevel="0" collapsed="false">
      <c r="A58" s="7"/>
      <c r="B58" s="7"/>
      <c r="C58" s="7"/>
      <c r="D58" s="7"/>
      <c r="E58" s="7" t="s">
        <v>2322</v>
      </c>
      <c r="F58" s="7"/>
      <c r="G58" s="7"/>
      <c r="H58" s="7"/>
      <c r="I58" s="7"/>
      <c r="J58" s="7"/>
      <c r="K58" s="7"/>
      <c r="L58" s="7"/>
      <c r="M58" s="7"/>
      <c r="N58" s="7" t="s">
        <v>2323</v>
      </c>
      <c r="O58" s="7"/>
      <c r="P58" s="7"/>
      <c r="Q58" s="7" t="s">
        <v>2324</v>
      </c>
      <c r="R58" s="7" t="s">
        <v>2325</v>
      </c>
      <c r="S58" s="7"/>
      <c r="T58" s="7" t="s">
        <v>2326</v>
      </c>
      <c r="U58" s="7"/>
      <c r="V58" s="7" t="s">
        <v>2327</v>
      </c>
      <c r="W58" s="7"/>
      <c r="X58" s="7"/>
      <c r="Y58" s="7"/>
      <c r="Z58" s="7"/>
      <c r="AA58" s="7"/>
      <c r="AB58" s="7"/>
      <c r="AC58" s="7"/>
      <c r="AD58" s="7" t="s">
        <v>2328</v>
      </c>
      <c r="AE58" s="7"/>
      <c r="AF58" s="7" t="s">
        <v>2329</v>
      </c>
      <c r="AG58" s="7"/>
      <c r="AH58" s="7"/>
      <c r="AI58" s="7" t="s">
        <v>2330</v>
      </c>
    </row>
    <row r="59" customFormat="false" ht="15.75" hidden="false" customHeight="true" outlineLevel="0" collapsed="false">
      <c r="A59" s="7"/>
      <c r="B59" s="7"/>
      <c r="C59" s="7"/>
      <c r="D59" s="7"/>
      <c r="E59" s="7" t="s">
        <v>2331</v>
      </c>
      <c r="F59" s="7"/>
      <c r="G59" s="7"/>
      <c r="H59" s="7"/>
      <c r="I59" s="7"/>
      <c r="J59" s="7"/>
      <c r="K59" s="7"/>
      <c r="L59" s="7"/>
      <c r="M59" s="7"/>
      <c r="N59" s="7" t="s">
        <v>2332</v>
      </c>
      <c r="O59" s="7"/>
      <c r="P59" s="7"/>
      <c r="Q59" s="7" t="s">
        <v>2333</v>
      </c>
      <c r="R59" s="7" t="s">
        <v>2334</v>
      </c>
      <c r="S59" s="7"/>
      <c r="T59" s="7" t="s">
        <v>2335</v>
      </c>
      <c r="U59" s="7"/>
      <c r="V59" s="7" t="s">
        <v>2336</v>
      </c>
      <c r="W59" s="7"/>
      <c r="X59" s="7"/>
      <c r="Y59" s="7"/>
      <c r="Z59" s="7"/>
      <c r="AA59" s="7"/>
      <c r="AB59" s="7"/>
      <c r="AC59" s="7"/>
      <c r="AD59" s="7" t="s">
        <v>2337</v>
      </c>
      <c r="AE59" s="7"/>
      <c r="AF59" s="7" t="s">
        <v>2338</v>
      </c>
      <c r="AG59" s="7"/>
      <c r="AH59" s="7"/>
      <c r="AI59" s="7" t="s">
        <v>2339</v>
      </c>
    </row>
    <row r="60" customFormat="false" ht="15.75" hidden="false" customHeight="true" outlineLevel="0" collapsed="false">
      <c r="A60" s="7"/>
      <c r="B60" s="7"/>
      <c r="C60" s="7"/>
      <c r="D60" s="7"/>
      <c r="E60" s="7" t="s">
        <v>2340</v>
      </c>
      <c r="F60" s="7"/>
      <c r="G60" s="7"/>
      <c r="H60" s="7"/>
      <c r="I60" s="7"/>
      <c r="J60" s="7"/>
      <c r="K60" s="7"/>
      <c r="L60" s="7"/>
      <c r="M60" s="7"/>
      <c r="N60" s="7" t="s">
        <v>2341</v>
      </c>
      <c r="O60" s="7"/>
      <c r="P60" s="7"/>
      <c r="Q60" s="7" t="s">
        <v>2342</v>
      </c>
      <c r="R60" s="7" t="s">
        <v>2343</v>
      </c>
      <c r="S60" s="7"/>
      <c r="T60" s="7" t="s">
        <v>2344</v>
      </c>
      <c r="U60" s="7"/>
      <c r="V60" s="7" t="s">
        <v>2345</v>
      </c>
      <c r="W60" s="7"/>
      <c r="X60" s="7"/>
      <c r="Y60" s="7"/>
      <c r="Z60" s="7"/>
      <c r="AA60" s="7"/>
      <c r="AB60" s="7"/>
      <c r="AC60" s="7"/>
      <c r="AD60" s="7" t="s">
        <v>2346</v>
      </c>
      <c r="AE60" s="7"/>
      <c r="AF60" s="7" t="s">
        <v>2347</v>
      </c>
      <c r="AG60" s="7"/>
      <c r="AH60" s="7"/>
      <c r="AI60" s="7" t="s">
        <v>2348</v>
      </c>
    </row>
    <row r="61" customFormat="false" ht="15.75" hidden="false" customHeight="true" outlineLevel="0" collapsed="false">
      <c r="A61" s="7"/>
      <c r="B61" s="7"/>
      <c r="C61" s="7"/>
      <c r="D61" s="7"/>
      <c r="E61" s="7" t="s">
        <v>2349</v>
      </c>
      <c r="F61" s="7"/>
      <c r="G61" s="7"/>
      <c r="H61" s="7"/>
      <c r="I61" s="7"/>
      <c r="J61" s="7"/>
      <c r="K61" s="7"/>
      <c r="L61" s="7"/>
      <c r="M61" s="7"/>
      <c r="N61" s="7" t="s">
        <v>2350</v>
      </c>
      <c r="O61" s="7"/>
      <c r="P61" s="7"/>
      <c r="Q61" s="7" t="s">
        <v>2351</v>
      </c>
      <c r="R61" s="7" t="s">
        <v>2352</v>
      </c>
      <c r="S61" s="7"/>
      <c r="T61" s="7" t="s">
        <v>2353</v>
      </c>
      <c r="U61" s="7"/>
      <c r="V61" s="7" t="s">
        <v>2354</v>
      </c>
      <c r="W61" s="7"/>
      <c r="X61" s="7"/>
      <c r="Y61" s="7"/>
      <c r="Z61" s="7"/>
      <c r="AA61" s="7"/>
      <c r="AB61" s="7"/>
      <c r="AC61" s="7"/>
      <c r="AD61" s="7" t="s">
        <v>2355</v>
      </c>
      <c r="AE61" s="7"/>
      <c r="AF61" s="7" t="s">
        <v>2356</v>
      </c>
      <c r="AG61" s="7"/>
      <c r="AH61" s="7"/>
      <c r="AI61" s="7" t="s">
        <v>2357</v>
      </c>
    </row>
    <row r="62" customFormat="false" ht="15.75" hidden="false" customHeight="true" outlineLevel="0" collapsed="false">
      <c r="A62" s="7"/>
      <c r="B62" s="7"/>
      <c r="C62" s="7"/>
      <c r="D62" s="7"/>
      <c r="E62" s="7" t="s">
        <v>2358</v>
      </c>
      <c r="F62" s="7"/>
      <c r="G62" s="7"/>
      <c r="H62" s="7"/>
      <c r="I62" s="7"/>
      <c r="J62" s="7"/>
      <c r="K62" s="7"/>
      <c r="L62" s="7"/>
      <c r="M62" s="7"/>
      <c r="N62" s="7" t="s">
        <v>2359</v>
      </c>
      <c r="O62" s="7"/>
      <c r="P62" s="7"/>
      <c r="Q62" s="7" t="s">
        <v>2360</v>
      </c>
      <c r="R62" s="7" t="s">
        <v>2361</v>
      </c>
      <c r="S62" s="7"/>
      <c r="T62" s="7" t="s">
        <v>2362</v>
      </c>
      <c r="U62" s="7"/>
      <c r="V62" s="7" t="s">
        <v>2363</v>
      </c>
      <c r="W62" s="7"/>
      <c r="X62" s="7"/>
      <c r="Y62" s="7"/>
      <c r="Z62" s="7"/>
      <c r="AA62" s="7"/>
      <c r="AB62" s="7"/>
      <c r="AC62" s="7"/>
      <c r="AD62" s="7" t="s">
        <v>2364</v>
      </c>
      <c r="AE62" s="7"/>
      <c r="AF62" s="7" t="s">
        <v>2365</v>
      </c>
      <c r="AG62" s="7"/>
      <c r="AH62" s="7"/>
      <c r="AI62" s="7" t="s">
        <v>2366</v>
      </c>
    </row>
    <row r="63" customFormat="false" ht="15.75" hidden="false" customHeight="true" outlineLevel="0" collapsed="false">
      <c r="A63" s="7"/>
      <c r="B63" s="7"/>
      <c r="C63" s="7"/>
      <c r="D63" s="7"/>
      <c r="E63" s="7" t="s">
        <v>2367</v>
      </c>
      <c r="F63" s="7"/>
      <c r="G63" s="7"/>
      <c r="H63" s="7"/>
      <c r="I63" s="7"/>
      <c r="J63" s="7"/>
      <c r="K63" s="7"/>
      <c r="L63" s="7"/>
      <c r="M63" s="7"/>
      <c r="N63" s="7" t="s">
        <v>2368</v>
      </c>
      <c r="O63" s="7"/>
      <c r="P63" s="7"/>
      <c r="Q63" s="7" t="s">
        <v>2369</v>
      </c>
      <c r="R63" s="7" t="s">
        <v>2370</v>
      </c>
      <c r="S63" s="7"/>
      <c r="T63" s="7"/>
      <c r="U63" s="7"/>
      <c r="V63" s="7" t="s">
        <v>2371</v>
      </c>
      <c r="W63" s="7"/>
      <c r="X63" s="7"/>
      <c r="Y63" s="7"/>
      <c r="Z63" s="7"/>
      <c r="AA63" s="7"/>
      <c r="AB63" s="7"/>
      <c r="AC63" s="7"/>
      <c r="AD63" s="7" t="s">
        <v>2372</v>
      </c>
      <c r="AE63" s="7"/>
      <c r="AF63" s="7" t="s">
        <v>2373</v>
      </c>
      <c r="AG63" s="7"/>
      <c r="AH63" s="7"/>
      <c r="AI63" s="7" t="s">
        <v>2374</v>
      </c>
    </row>
    <row r="64" customFormat="false" ht="15.75" hidden="false" customHeight="true" outlineLevel="0" collapsed="false">
      <c r="A64" s="7"/>
      <c r="B64" s="7"/>
      <c r="C64" s="7"/>
      <c r="D64" s="7"/>
      <c r="E64" s="7" t="s">
        <v>2375</v>
      </c>
      <c r="F64" s="7"/>
      <c r="G64" s="7"/>
      <c r="H64" s="7"/>
      <c r="I64" s="7"/>
      <c r="J64" s="7"/>
      <c r="K64" s="7"/>
      <c r="L64" s="7"/>
      <c r="M64" s="7"/>
      <c r="N64" s="7" t="s">
        <v>2376</v>
      </c>
      <c r="O64" s="7"/>
      <c r="P64" s="7"/>
      <c r="Q64" s="7" t="s">
        <v>2377</v>
      </c>
      <c r="R64" s="7" t="s">
        <v>2378</v>
      </c>
      <c r="S64" s="7"/>
      <c r="T64" s="7"/>
      <c r="U64" s="7"/>
      <c r="V64" s="7" t="s">
        <v>2379</v>
      </c>
      <c r="W64" s="7"/>
      <c r="X64" s="7"/>
      <c r="Y64" s="7"/>
      <c r="Z64" s="7"/>
      <c r="AA64" s="7"/>
      <c r="AB64" s="7"/>
      <c r="AC64" s="7"/>
      <c r="AD64" s="7" t="s">
        <v>2380</v>
      </c>
      <c r="AE64" s="7"/>
      <c r="AF64" s="7" t="s">
        <v>2381</v>
      </c>
      <c r="AG64" s="7"/>
      <c r="AH64" s="7"/>
      <c r="AI64" s="7" t="s">
        <v>2382</v>
      </c>
    </row>
    <row r="65" customFormat="false" ht="15.75" hidden="false" customHeight="true" outlineLevel="0" collapsed="false">
      <c r="A65" s="7"/>
      <c r="B65" s="7"/>
      <c r="C65" s="7"/>
      <c r="D65" s="7"/>
      <c r="E65" s="7" t="s">
        <v>2383</v>
      </c>
      <c r="F65" s="7"/>
      <c r="G65" s="7"/>
      <c r="H65" s="7"/>
      <c r="I65" s="7"/>
      <c r="J65" s="7"/>
      <c r="K65" s="7"/>
      <c r="L65" s="7"/>
      <c r="M65" s="7"/>
      <c r="N65" s="7" t="s">
        <v>2384</v>
      </c>
      <c r="O65" s="7"/>
      <c r="P65" s="7"/>
      <c r="Q65" s="7" t="s">
        <v>2385</v>
      </c>
      <c r="R65" s="7" t="s">
        <v>2386</v>
      </c>
      <c r="S65" s="7"/>
      <c r="T65" s="7"/>
      <c r="U65" s="7"/>
      <c r="V65" s="7" t="s">
        <v>2387</v>
      </c>
      <c r="W65" s="7"/>
      <c r="X65" s="7"/>
      <c r="Y65" s="7"/>
      <c r="Z65" s="7"/>
      <c r="AA65" s="7"/>
      <c r="AB65" s="7"/>
      <c r="AC65" s="7"/>
      <c r="AD65" s="7" t="s">
        <v>2388</v>
      </c>
      <c r="AE65" s="7"/>
      <c r="AF65" s="7" t="s">
        <v>2389</v>
      </c>
      <c r="AG65" s="7"/>
      <c r="AH65" s="7"/>
      <c r="AI65" s="7" t="s">
        <v>2390</v>
      </c>
    </row>
    <row r="66" customFormat="false" ht="15.75" hidden="false" customHeight="true" outlineLevel="0" collapsed="false">
      <c r="A66" s="7"/>
      <c r="B66" s="7"/>
      <c r="C66" s="7"/>
      <c r="D66" s="7"/>
      <c r="E66" s="7" t="s">
        <v>2391</v>
      </c>
      <c r="F66" s="7"/>
      <c r="G66" s="7"/>
      <c r="H66" s="7"/>
      <c r="I66" s="7"/>
      <c r="J66" s="7"/>
      <c r="K66" s="7"/>
      <c r="L66" s="7"/>
      <c r="M66" s="7"/>
      <c r="N66" s="7" t="s">
        <v>2392</v>
      </c>
      <c r="O66" s="7"/>
      <c r="P66" s="7"/>
      <c r="Q66" s="7" t="s">
        <v>2393</v>
      </c>
      <c r="R66" s="7" t="s">
        <v>2394</v>
      </c>
      <c r="S66" s="7"/>
      <c r="T66" s="7"/>
      <c r="U66" s="7"/>
      <c r="V66" s="7" t="s">
        <v>2395</v>
      </c>
      <c r="W66" s="7"/>
      <c r="X66" s="7"/>
      <c r="Y66" s="7"/>
      <c r="Z66" s="7"/>
      <c r="AA66" s="7"/>
      <c r="AB66" s="7"/>
      <c r="AC66" s="7"/>
      <c r="AD66" s="7" t="s">
        <v>2396</v>
      </c>
      <c r="AE66" s="7"/>
      <c r="AF66" s="7" t="s">
        <v>2397</v>
      </c>
      <c r="AG66" s="7"/>
      <c r="AH66" s="7"/>
      <c r="AI66" s="7" t="s">
        <v>2398</v>
      </c>
    </row>
    <row r="67" customFormat="false" ht="15.75" hidden="false" customHeight="true" outlineLevel="0" collapsed="false">
      <c r="A67" s="7"/>
      <c r="B67" s="7"/>
      <c r="C67" s="7"/>
      <c r="D67" s="7"/>
      <c r="E67" s="7" t="s">
        <v>2399</v>
      </c>
      <c r="F67" s="7"/>
      <c r="G67" s="7"/>
      <c r="H67" s="7"/>
      <c r="I67" s="7"/>
      <c r="J67" s="7"/>
      <c r="K67" s="7"/>
      <c r="L67" s="7"/>
      <c r="M67" s="7"/>
      <c r="N67" s="7" t="s">
        <v>2400</v>
      </c>
      <c r="O67" s="7"/>
      <c r="P67" s="7"/>
      <c r="Q67" s="7" t="s">
        <v>2401</v>
      </c>
      <c r="R67" s="7" t="s">
        <v>2402</v>
      </c>
      <c r="S67" s="7"/>
      <c r="T67" s="7"/>
      <c r="U67" s="7"/>
      <c r="V67" s="7" t="s">
        <v>2403</v>
      </c>
      <c r="W67" s="7"/>
      <c r="X67" s="7"/>
      <c r="Y67" s="7"/>
      <c r="Z67" s="7"/>
      <c r="AA67" s="7"/>
      <c r="AB67" s="7"/>
      <c r="AC67" s="7"/>
      <c r="AD67" s="7" t="s">
        <v>2404</v>
      </c>
      <c r="AE67" s="7"/>
      <c r="AF67" s="7" t="s">
        <v>2405</v>
      </c>
      <c r="AG67" s="7"/>
      <c r="AH67" s="7"/>
      <c r="AI67" s="7" t="s">
        <v>2406</v>
      </c>
    </row>
    <row r="68" customFormat="false" ht="15.75" hidden="false" customHeight="true" outlineLevel="0" collapsed="false">
      <c r="A68" s="7"/>
      <c r="B68" s="7"/>
      <c r="C68" s="7"/>
      <c r="D68" s="7"/>
      <c r="E68" s="7" t="s">
        <v>2407</v>
      </c>
      <c r="F68" s="7"/>
      <c r="G68" s="7"/>
      <c r="H68" s="7"/>
      <c r="I68" s="7"/>
      <c r="J68" s="7"/>
      <c r="K68" s="7"/>
      <c r="L68" s="7"/>
      <c r="M68" s="7"/>
      <c r="N68" s="7" t="s">
        <v>375</v>
      </c>
      <c r="O68" s="7"/>
      <c r="P68" s="7"/>
      <c r="Q68" s="7" t="s">
        <v>2408</v>
      </c>
      <c r="R68" s="7" t="s">
        <v>2409</v>
      </c>
      <c r="S68" s="7"/>
      <c r="T68" s="7"/>
      <c r="U68" s="7"/>
      <c r="V68" s="7" t="s">
        <v>2410</v>
      </c>
      <c r="W68" s="7"/>
      <c r="X68" s="7"/>
      <c r="Y68" s="7"/>
      <c r="Z68" s="7"/>
      <c r="AA68" s="7"/>
      <c r="AB68" s="7"/>
      <c r="AC68" s="7"/>
      <c r="AD68" s="7" t="s">
        <v>2411</v>
      </c>
      <c r="AE68" s="7"/>
      <c r="AF68" s="7" t="s">
        <v>2412</v>
      </c>
      <c r="AG68" s="7"/>
      <c r="AH68" s="7"/>
      <c r="AI68" s="7" t="s">
        <v>2413</v>
      </c>
    </row>
    <row r="69" customFormat="false" ht="15.75" hidden="false" customHeight="true" outlineLevel="0" collapsed="false">
      <c r="A69" s="7"/>
      <c r="B69" s="7"/>
      <c r="C69" s="7"/>
      <c r="D69" s="7"/>
      <c r="E69" s="7" t="s">
        <v>2414</v>
      </c>
      <c r="F69" s="7"/>
      <c r="G69" s="7"/>
      <c r="H69" s="7"/>
      <c r="I69" s="7"/>
      <c r="J69" s="7"/>
      <c r="K69" s="7"/>
      <c r="L69" s="7"/>
      <c r="M69" s="7"/>
      <c r="N69" s="7" t="s">
        <v>2415</v>
      </c>
      <c r="O69" s="7"/>
      <c r="P69" s="7"/>
      <c r="Q69" s="7" t="s">
        <v>2416</v>
      </c>
      <c r="R69" s="7" t="s">
        <v>2417</v>
      </c>
      <c r="S69" s="7"/>
      <c r="T69" s="7"/>
      <c r="U69" s="7"/>
      <c r="V69" s="7" t="s">
        <v>2418</v>
      </c>
      <c r="W69" s="7"/>
      <c r="X69" s="7"/>
      <c r="Y69" s="7"/>
      <c r="Z69" s="7"/>
      <c r="AA69" s="7"/>
      <c r="AB69" s="7"/>
      <c r="AC69" s="7"/>
      <c r="AD69" s="7" t="s">
        <v>2419</v>
      </c>
      <c r="AE69" s="7"/>
      <c r="AF69" s="7" t="s">
        <v>2420</v>
      </c>
      <c r="AG69" s="7"/>
      <c r="AH69" s="7"/>
      <c r="AI69" s="7" t="s">
        <v>2421</v>
      </c>
    </row>
    <row r="70" customFormat="false" ht="15.75" hidden="false" customHeight="true" outlineLevel="0" collapsed="false">
      <c r="A70" s="7"/>
      <c r="B70" s="7"/>
      <c r="C70" s="7"/>
      <c r="D70" s="7"/>
      <c r="E70" s="7" t="s">
        <v>2422</v>
      </c>
      <c r="F70" s="7"/>
      <c r="G70" s="7"/>
      <c r="H70" s="7"/>
      <c r="I70" s="7"/>
      <c r="J70" s="7"/>
      <c r="K70" s="7"/>
      <c r="L70" s="7"/>
      <c r="M70" s="7"/>
      <c r="N70" s="7" t="s">
        <v>2294</v>
      </c>
      <c r="O70" s="7"/>
      <c r="P70" s="7"/>
      <c r="Q70" s="7" t="s">
        <v>2423</v>
      </c>
      <c r="R70" s="7" t="s">
        <v>2424</v>
      </c>
      <c r="S70" s="7"/>
      <c r="T70" s="7"/>
      <c r="U70" s="7"/>
      <c r="V70" s="7" t="s">
        <v>2425</v>
      </c>
      <c r="W70" s="7"/>
      <c r="X70" s="7"/>
      <c r="Y70" s="7"/>
      <c r="Z70" s="7"/>
      <c r="AA70" s="7"/>
      <c r="AB70" s="7"/>
      <c r="AC70" s="7"/>
      <c r="AD70" s="7" t="s">
        <v>2426</v>
      </c>
      <c r="AE70" s="7"/>
      <c r="AF70" s="7" t="s">
        <v>2427</v>
      </c>
      <c r="AG70" s="7"/>
      <c r="AH70" s="7"/>
      <c r="AI70" s="7" t="s">
        <v>2428</v>
      </c>
    </row>
    <row r="71" customFormat="false" ht="15.75" hidden="false" customHeight="true" outlineLevel="0" collapsed="false">
      <c r="A71" s="7"/>
      <c r="B71" s="7"/>
      <c r="C71" s="7"/>
      <c r="D71" s="7"/>
      <c r="E71" s="7" t="s">
        <v>2429</v>
      </c>
      <c r="F71" s="7"/>
      <c r="G71" s="7"/>
      <c r="H71" s="7"/>
      <c r="I71" s="7"/>
      <c r="J71" s="7"/>
      <c r="K71" s="7"/>
      <c r="L71" s="7"/>
      <c r="M71" s="7"/>
      <c r="N71" s="7" t="s">
        <v>2430</v>
      </c>
      <c r="O71" s="7"/>
      <c r="P71" s="7"/>
      <c r="Q71" s="7" t="s">
        <v>237</v>
      </c>
      <c r="R71" s="7" t="s">
        <v>2431</v>
      </c>
      <c r="S71" s="7"/>
      <c r="T71" s="7"/>
      <c r="U71" s="7"/>
      <c r="V71" s="7" t="s">
        <v>2432</v>
      </c>
      <c r="W71" s="7"/>
      <c r="X71" s="7"/>
      <c r="Y71" s="7"/>
      <c r="Z71" s="7"/>
      <c r="AA71" s="7"/>
      <c r="AB71" s="7"/>
      <c r="AC71" s="7"/>
      <c r="AD71" s="7" t="s">
        <v>2433</v>
      </c>
      <c r="AE71" s="7"/>
      <c r="AF71" s="7" t="s">
        <v>2434</v>
      </c>
      <c r="AG71" s="7"/>
      <c r="AH71" s="7"/>
      <c r="AI71" s="7" t="s">
        <v>2435</v>
      </c>
    </row>
    <row r="72" customFormat="false" ht="15.75" hidden="false" customHeight="true" outlineLevel="0" collapsed="false">
      <c r="A72" s="7"/>
      <c r="B72" s="7"/>
      <c r="C72" s="7"/>
      <c r="D72" s="7"/>
      <c r="E72" s="7" t="s">
        <v>2436</v>
      </c>
      <c r="F72" s="7"/>
      <c r="G72" s="7"/>
      <c r="H72" s="7"/>
      <c r="I72" s="7"/>
      <c r="J72" s="7"/>
      <c r="K72" s="7"/>
      <c r="L72" s="7"/>
      <c r="M72" s="7"/>
      <c r="N72" s="7" t="s">
        <v>2437</v>
      </c>
      <c r="O72" s="7"/>
      <c r="P72" s="7"/>
      <c r="Q72" s="7" t="s">
        <v>2438</v>
      </c>
      <c r="R72" s="7" t="s">
        <v>2439</v>
      </c>
      <c r="S72" s="7"/>
      <c r="T72" s="7"/>
      <c r="U72" s="7"/>
      <c r="V72" s="7" t="s">
        <v>2440</v>
      </c>
      <c r="W72" s="7"/>
      <c r="X72" s="7"/>
      <c r="Y72" s="7"/>
      <c r="Z72" s="7"/>
      <c r="AA72" s="7"/>
      <c r="AB72" s="7"/>
      <c r="AC72" s="7"/>
      <c r="AD72" s="7" t="s">
        <v>2441</v>
      </c>
      <c r="AE72" s="7"/>
      <c r="AF72" s="7" t="s">
        <v>2442</v>
      </c>
      <c r="AG72" s="7"/>
      <c r="AH72" s="7"/>
      <c r="AI72" s="7" t="s">
        <v>2443</v>
      </c>
    </row>
    <row r="73" customFormat="false" ht="15.75" hidden="false" customHeight="true" outlineLevel="0" collapsed="false">
      <c r="A73" s="7"/>
      <c r="B73" s="7"/>
      <c r="C73" s="7"/>
      <c r="D73" s="7"/>
      <c r="E73" s="7" t="s">
        <v>2444</v>
      </c>
      <c r="F73" s="7"/>
      <c r="G73" s="7"/>
      <c r="H73" s="7"/>
      <c r="I73" s="7"/>
      <c r="J73" s="7"/>
      <c r="K73" s="7"/>
      <c r="L73" s="7"/>
      <c r="M73" s="7"/>
      <c r="N73" s="7" t="s">
        <v>2445</v>
      </c>
      <c r="O73" s="7"/>
      <c r="P73" s="7"/>
      <c r="Q73" s="7" t="s">
        <v>2446</v>
      </c>
      <c r="R73" s="7" t="s">
        <v>2447</v>
      </c>
      <c r="S73" s="7"/>
      <c r="T73" s="7"/>
      <c r="U73" s="7"/>
      <c r="V73" s="7" t="s">
        <v>2448</v>
      </c>
      <c r="W73" s="7"/>
      <c r="X73" s="7"/>
      <c r="Y73" s="7"/>
      <c r="Z73" s="7"/>
      <c r="AA73" s="7"/>
      <c r="AB73" s="7"/>
      <c r="AC73" s="7"/>
      <c r="AD73" s="7" t="s">
        <v>2449</v>
      </c>
      <c r="AE73" s="7"/>
      <c r="AF73" s="7" t="s">
        <v>2450</v>
      </c>
      <c r="AG73" s="7"/>
      <c r="AH73" s="7"/>
      <c r="AI73" s="7" t="s">
        <v>2451</v>
      </c>
    </row>
    <row r="74" customFormat="false" ht="15.75" hidden="false" customHeight="true" outlineLevel="0" collapsed="false">
      <c r="A74" s="7"/>
      <c r="B74" s="7"/>
      <c r="C74" s="7"/>
      <c r="D74" s="7"/>
      <c r="E74" s="7" t="s">
        <v>2452</v>
      </c>
      <c r="F74" s="7"/>
      <c r="G74" s="7"/>
      <c r="H74" s="7"/>
      <c r="I74" s="7"/>
      <c r="J74" s="7"/>
      <c r="K74" s="7"/>
      <c r="L74" s="7"/>
      <c r="M74" s="7"/>
      <c r="N74" s="7" t="s">
        <v>2453</v>
      </c>
      <c r="O74" s="7"/>
      <c r="P74" s="7"/>
      <c r="Q74" s="7" t="s">
        <v>2454</v>
      </c>
      <c r="R74" s="7" t="s">
        <v>2455</v>
      </c>
      <c r="S74" s="7"/>
      <c r="T74" s="7"/>
      <c r="U74" s="7"/>
      <c r="V74" s="7" t="s">
        <v>2456</v>
      </c>
      <c r="W74" s="7"/>
      <c r="X74" s="7"/>
      <c r="Y74" s="7"/>
      <c r="Z74" s="7"/>
      <c r="AA74" s="7"/>
      <c r="AB74" s="7"/>
      <c r="AC74" s="7"/>
      <c r="AD74" s="7" t="s">
        <v>2457</v>
      </c>
      <c r="AE74" s="7"/>
      <c r="AF74" s="7" t="s">
        <v>2458</v>
      </c>
      <c r="AG74" s="7"/>
      <c r="AH74" s="7"/>
      <c r="AI74" s="7" t="s">
        <v>2459</v>
      </c>
    </row>
    <row r="75" customFormat="false" ht="15.75" hidden="false" customHeight="true" outlineLevel="0" collapsed="false">
      <c r="A75" s="7"/>
      <c r="B75" s="7"/>
      <c r="C75" s="7"/>
      <c r="D75" s="7"/>
      <c r="E75" s="7" t="s">
        <v>2460</v>
      </c>
      <c r="F75" s="7"/>
      <c r="G75" s="7"/>
      <c r="H75" s="7"/>
      <c r="I75" s="7"/>
      <c r="J75" s="7"/>
      <c r="K75" s="7"/>
      <c r="L75" s="7"/>
      <c r="M75" s="7"/>
      <c r="N75" s="7" t="s">
        <v>2461</v>
      </c>
      <c r="O75" s="7"/>
      <c r="P75" s="7"/>
      <c r="Q75" s="7" t="s">
        <v>2462</v>
      </c>
      <c r="R75" s="7" t="s">
        <v>2463</v>
      </c>
      <c r="S75" s="7"/>
      <c r="T75" s="7"/>
      <c r="U75" s="7"/>
      <c r="V75" s="7" t="s">
        <v>2464</v>
      </c>
      <c r="W75" s="7"/>
      <c r="X75" s="7"/>
      <c r="Y75" s="7"/>
      <c r="Z75" s="7"/>
      <c r="AA75" s="7"/>
      <c r="AB75" s="7"/>
      <c r="AC75" s="7"/>
      <c r="AD75" s="7" t="s">
        <v>2465</v>
      </c>
      <c r="AE75" s="7"/>
      <c r="AF75" s="7" t="s">
        <v>2466</v>
      </c>
      <c r="AG75" s="7"/>
      <c r="AH75" s="7"/>
      <c r="AI75" s="7" t="s">
        <v>2467</v>
      </c>
    </row>
    <row r="76" customFormat="false" ht="15.75" hidden="false" customHeight="true" outlineLevel="0" collapsed="false">
      <c r="A76" s="7"/>
      <c r="B76" s="7"/>
      <c r="C76" s="7"/>
      <c r="D76" s="7"/>
      <c r="E76" s="7" t="s">
        <v>2468</v>
      </c>
      <c r="F76" s="7"/>
      <c r="G76" s="7"/>
      <c r="H76" s="7"/>
      <c r="I76" s="7"/>
      <c r="J76" s="7"/>
      <c r="K76" s="7"/>
      <c r="L76" s="7"/>
      <c r="M76" s="7"/>
      <c r="N76" s="7" t="s">
        <v>2469</v>
      </c>
      <c r="O76" s="7"/>
      <c r="P76" s="7"/>
      <c r="Q76" s="7" t="s">
        <v>2470</v>
      </c>
      <c r="R76" s="7" t="s">
        <v>2471</v>
      </c>
      <c r="S76" s="7"/>
      <c r="T76" s="7"/>
      <c r="U76" s="7"/>
      <c r="V76" s="7" t="s">
        <v>2472</v>
      </c>
      <c r="W76" s="7"/>
      <c r="X76" s="7"/>
      <c r="Y76" s="7"/>
      <c r="Z76" s="7"/>
      <c r="AA76" s="7"/>
      <c r="AB76" s="7"/>
      <c r="AC76" s="7"/>
      <c r="AD76" s="7" t="s">
        <v>2473</v>
      </c>
      <c r="AE76" s="7"/>
      <c r="AF76" s="7" t="s">
        <v>2474</v>
      </c>
      <c r="AG76" s="7"/>
      <c r="AH76" s="7"/>
      <c r="AI76" s="7" t="s">
        <v>2475</v>
      </c>
    </row>
    <row r="77" customFormat="false" ht="15.75" hidden="false" customHeight="true" outlineLevel="0" collapsed="false">
      <c r="A77" s="7"/>
      <c r="B77" s="7"/>
      <c r="C77" s="7"/>
      <c r="D77" s="7"/>
      <c r="E77" s="7" t="s">
        <v>2476</v>
      </c>
      <c r="F77" s="7"/>
      <c r="G77" s="7"/>
      <c r="H77" s="7"/>
      <c r="I77" s="7"/>
      <c r="J77" s="7"/>
      <c r="K77" s="7"/>
      <c r="L77" s="7"/>
      <c r="M77" s="7"/>
      <c r="N77" s="7" t="s">
        <v>2477</v>
      </c>
      <c r="O77" s="7"/>
      <c r="P77" s="7"/>
      <c r="Q77" s="7" t="s">
        <v>2478</v>
      </c>
      <c r="R77" s="7" t="s">
        <v>2479</v>
      </c>
      <c r="S77" s="7"/>
      <c r="T77" s="7"/>
      <c r="U77" s="7"/>
      <c r="V77" s="7" t="s">
        <v>2480</v>
      </c>
      <c r="W77" s="7"/>
      <c r="X77" s="7"/>
      <c r="Y77" s="7"/>
      <c r="Z77" s="7"/>
      <c r="AA77" s="7"/>
      <c r="AB77" s="7"/>
      <c r="AC77" s="7"/>
      <c r="AD77" s="7" t="s">
        <v>2481</v>
      </c>
      <c r="AE77" s="7"/>
      <c r="AF77" s="7" t="s">
        <v>2482</v>
      </c>
      <c r="AG77" s="7"/>
      <c r="AH77" s="7"/>
      <c r="AI77" s="7" t="s">
        <v>2483</v>
      </c>
    </row>
    <row r="78" customFormat="false" ht="15.75" hidden="false" customHeight="true" outlineLevel="0" collapsed="false">
      <c r="A78" s="7"/>
      <c r="B78" s="7"/>
      <c r="C78" s="7"/>
      <c r="D78" s="7"/>
      <c r="E78" s="7" t="s">
        <v>2484</v>
      </c>
      <c r="F78" s="7"/>
      <c r="G78" s="7"/>
      <c r="H78" s="7"/>
      <c r="I78" s="7"/>
      <c r="J78" s="7"/>
      <c r="K78" s="7"/>
      <c r="L78" s="7"/>
      <c r="M78" s="7"/>
      <c r="N78" s="7" t="s">
        <v>2485</v>
      </c>
      <c r="O78" s="7"/>
      <c r="P78" s="7"/>
      <c r="Q78" s="7" t="s">
        <v>2486</v>
      </c>
      <c r="R78" s="7" t="s">
        <v>2487</v>
      </c>
      <c r="S78" s="7"/>
      <c r="T78" s="7"/>
      <c r="U78" s="7"/>
      <c r="V78" s="7" t="s">
        <v>2488</v>
      </c>
      <c r="W78" s="7"/>
      <c r="X78" s="7"/>
      <c r="Y78" s="7"/>
      <c r="Z78" s="7"/>
      <c r="AA78" s="7"/>
      <c r="AB78" s="7"/>
      <c r="AC78" s="7"/>
      <c r="AD78" s="7" t="s">
        <v>2489</v>
      </c>
      <c r="AE78" s="7"/>
      <c r="AF78" s="7" t="s">
        <v>2490</v>
      </c>
      <c r="AG78" s="7"/>
      <c r="AH78" s="7"/>
      <c r="AI78" s="7" t="s">
        <v>2491</v>
      </c>
    </row>
    <row r="79" customFormat="false" ht="15.75" hidden="false" customHeight="true" outlineLevel="0" collapsed="false">
      <c r="A79" s="7"/>
      <c r="B79" s="7"/>
      <c r="C79" s="7"/>
      <c r="D79" s="7"/>
      <c r="E79" s="7" t="s">
        <v>2492</v>
      </c>
      <c r="F79" s="7"/>
      <c r="G79" s="7"/>
      <c r="H79" s="7"/>
      <c r="I79" s="7"/>
      <c r="J79" s="7"/>
      <c r="K79" s="7"/>
      <c r="L79" s="7"/>
      <c r="M79" s="7"/>
      <c r="N79" s="7" t="s">
        <v>2493</v>
      </c>
      <c r="O79" s="7"/>
      <c r="P79" s="7"/>
      <c r="Q79" s="7" t="s">
        <v>2494</v>
      </c>
      <c r="R79" s="7" t="s">
        <v>2495</v>
      </c>
      <c r="S79" s="7"/>
      <c r="T79" s="7"/>
      <c r="U79" s="7"/>
      <c r="V79" s="7" t="s">
        <v>2496</v>
      </c>
      <c r="W79" s="7"/>
      <c r="X79" s="7"/>
      <c r="Y79" s="7"/>
      <c r="Z79" s="7"/>
      <c r="AA79" s="7"/>
      <c r="AB79" s="7"/>
      <c r="AC79" s="7"/>
      <c r="AD79" s="7" t="s">
        <v>2497</v>
      </c>
      <c r="AE79" s="7"/>
      <c r="AF79" s="7" t="s">
        <v>2498</v>
      </c>
      <c r="AG79" s="7"/>
      <c r="AH79" s="7"/>
      <c r="AI79" s="7" t="s">
        <v>2499</v>
      </c>
    </row>
    <row r="80" customFormat="false" ht="15.75" hidden="false" customHeight="true" outlineLevel="0" collapsed="false">
      <c r="A80" s="7"/>
      <c r="B80" s="7"/>
      <c r="C80" s="7"/>
      <c r="D80" s="7"/>
      <c r="E80" s="7" t="s">
        <v>2500</v>
      </c>
      <c r="F80" s="7"/>
      <c r="G80" s="7"/>
      <c r="H80" s="7"/>
      <c r="I80" s="7"/>
      <c r="J80" s="7"/>
      <c r="K80" s="7"/>
      <c r="L80" s="7"/>
      <c r="M80" s="7"/>
      <c r="N80" s="7" t="s">
        <v>2501</v>
      </c>
      <c r="O80" s="7"/>
      <c r="P80" s="7"/>
      <c r="Q80" s="7" t="s">
        <v>2502</v>
      </c>
      <c r="R80" s="7" t="s">
        <v>2503</v>
      </c>
      <c r="S80" s="7"/>
      <c r="T80" s="7"/>
      <c r="U80" s="7"/>
      <c r="V80" s="7" t="s">
        <v>2504</v>
      </c>
      <c r="W80" s="7"/>
      <c r="X80" s="7"/>
      <c r="Y80" s="7"/>
      <c r="Z80" s="7"/>
      <c r="AA80" s="7"/>
      <c r="AB80" s="7"/>
      <c r="AC80" s="7"/>
      <c r="AD80" s="7" t="s">
        <v>2505</v>
      </c>
      <c r="AE80" s="7"/>
      <c r="AF80" s="7" t="s">
        <v>2506</v>
      </c>
      <c r="AG80" s="7"/>
      <c r="AH80" s="7"/>
      <c r="AI80" s="7" t="s">
        <v>2507</v>
      </c>
    </row>
    <row r="81" customFormat="false" ht="15.75" hidden="false" customHeight="true" outlineLevel="0" collapsed="false">
      <c r="A81" s="7"/>
      <c r="B81" s="7"/>
      <c r="C81" s="7"/>
      <c r="D81" s="7"/>
      <c r="E81" s="7" t="s">
        <v>2508</v>
      </c>
      <c r="F81" s="7"/>
      <c r="G81" s="7"/>
      <c r="H81" s="7"/>
      <c r="I81" s="7"/>
      <c r="J81" s="7"/>
      <c r="K81" s="7"/>
      <c r="L81" s="7"/>
      <c r="M81" s="7"/>
      <c r="N81" s="7" t="s">
        <v>2509</v>
      </c>
      <c r="O81" s="7"/>
      <c r="P81" s="7"/>
      <c r="Q81" s="7" t="s">
        <v>2510</v>
      </c>
      <c r="R81" s="7" t="s">
        <v>2511</v>
      </c>
      <c r="S81" s="7"/>
      <c r="T81" s="7"/>
      <c r="U81" s="7"/>
      <c r="V81" s="7" t="s">
        <v>2512</v>
      </c>
      <c r="W81" s="7"/>
      <c r="X81" s="7"/>
      <c r="Y81" s="7"/>
      <c r="Z81" s="7"/>
      <c r="AA81" s="7"/>
      <c r="AB81" s="7"/>
      <c r="AC81" s="7"/>
      <c r="AD81" s="7" t="s">
        <v>2513</v>
      </c>
      <c r="AE81" s="7"/>
      <c r="AF81" s="7" t="s">
        <v>2514</v>
      </c>
      <c r="AG81" s="7"/>
      <c r="AH81" s="7"/>
      <c r="AI81" s="7" t="s">
        <v>2515</v>
      </c>
    </row>
    <row r="82" customFormat="false" ht="15.75" hidden="false" customHeight="true" outlineLevel="0" collapsed="false">
      <c r="A82" s="7"/>
      <c r="B82" s="7"/>
      <c r="C82" s="7"/>
      <c r="D82" s="7"/>
      <c r="E82" s="7" t="s">
        <v>2516</v>
      </c>
      <c r="F82" s="7"/>
      <c r="G82" s="7"/>
      <c r="H82" s="7"/>
      <c r="I82" s="7"/>
      <c r="J82" s="7"/>
      <c r="K82" s="7"/>
      <c r="L82" s="7"/>
      <c r="M82" s="7"/>
      <c r="N82" s="7" t="s">
        <v>2517</v>
      </c>
      <c r="O82" s="7"/>
      <c r="P82" s="7"/>
      <c r="Q82" s="7" t="s">
        <v>2518</v>
      </c>
      <c r="R82" s="7" t="s">
        <v>2519</v>
      </c>
      <c r="S82" s="7"/>
      <c r="T82" s="7"/>
      <c r="U82" s="7"/>
      <c r="V82" s="7" t="s">
        <v>2520</v>
      </c>
      <c r="W82" s="7"/>
      <c r="X82" s="7"/>
      <c r="Y82" s="7"/>
      <c r="Z82" s="7"/>
      <c r="AA82" s="7"/>
      <c r="AB82" s="7"/>
      <c r="AC82" s="7"/>
      <c r="AD82" s="7" t="s">
        <v>2521</v>
      </c>
      <c r="AE82" s="7"/>
      <c r="AF82" s="7" t="s">
        <v>2522</v>
      </c>
      <c r="AG82" s="7"/>
      <c r="AH82" s="7"/>
      <c r="AI82" s="7" t="s">
        <v>2523</v>
      </c>
    </row>
    <row r="83" customFormat="false" ht="15.75" hidden="false" customHeight="true" outlineLevel="0" collapsed="false">
      <c r="A83" s="7"/>
      <c r="B83" s="7"/>
      <c r="C83" s="7"/>
      <c r="D83" s="7"/>
      <c r="E83" s="7" t="s">
        <v>2524</v>
      </c>
      <c r="F83" s="7"/>
      <c r="G83" s="7"/>
      <c r="H83" s="7"/>
      <c r="I83" s="7"/>
      <c r="J83" s="7"/>
      <c r="K83" s="7"/>
      <c r="L83" s="7"/>
      <c r="M83" s="7"/>
      <c r="N83" s="7" t="s">
        <v>2525</v>
      </c>
      <c r="O83" s="7"/>
      <c r="P83" s="7"/>
      <c r="Q83" s="7" t="s">
        <v>2526</v>
      </c>
      <c r="R83" s="7" t="s">
        <v>2527</v>
      </c>
      <c r="S83" s="7"/>
      <c r="T83" s="7"/>
      <c r="U83" s="7"/>
      <c r="V83" s="7" t="s">
        <v>2528</v>
      </c>
      <c r="W83" s="7"/>
      <c r="X83" s="7"/>
      <c r="Y83" s="7"/>
      <c r="Z83" s="7"/>
      <c r="AA83" s="7"/>
      <c r="AB83" s="7"/>
      <c r="AC83" s="7"/>
      <c r="AD83" s="7" t="s">
        <v>2529</v>
      </c>
      <c r="AE83" s="7"/>
      <c r="AF83" s="7" t="s">
        <v>2530</v>
      </c>
      <c r="AG83" s="7"/>
      <c r="AH83" s="7"/>
      <c r="AI83" s="7" t="s">
        <v>2531</v>
      </c>
    </row>
    <row r="84" customFormat="false" ht="15.75" hidden="false" customHeight="true" outlineLevel="0" collapsed="false">
      <c r="A84" s="7"/>
      <c r="B84" s="7"/>
      <c r="C84" s="7"/>
      <c r="D84" s="7"/>
      <c r="E84" s="7" t="s">
        <v>2532</v>
      </c>
      <c r="F84" s="7"/>
      <c r="G84" s="7"/>
      <c r="H84" s="7"/>
      <c r="I84" s="7"/>
      <c r="J84" s="7"/>
      <c r="K84" s="7"/>
      <c r="L84" s="7"/>
      <c r="M84" s="7"/>
      <c r="N84" s="7" t="s">
        <v>2533</v>
      </c>
      <c r="O84" s="7"/>
      <c r="P84" s="7"/>
      <c r="Q84" s="7" t="s">
        <v>2534</v>
      </c>
      <c r="R84" s="7" t="s">
        <v>2535</v>
      </c>
      <c r="S84" s="7"/>
      <c r="T84" s="7"/>
      <c r="U84" s="7"/>
      <c r="V84" s="7" t="s">
        <v>2536</v>
      </c>
      <c r="W84" s="7"/>
      <c r="X84" s="7"/>
      <c r="Y84" s="7"/>
      <c r="Z84" s="7"/>
      <c r="AA84" s="7"/>
      <c r="AB84" s="7"/>
      <c r="AC84" s="7"/>
      <c r="AD84" s="7" t="s">
        <v>2537</v>
      </c>
      <c r="AE84" s="7"/>
      <c r="AF84" s="7" t="s">
        <v>2538</v>
      </c>
      <c r="AG84" s="7"/>
      <c r="AH84" s="7"/>
      <c r="AI84" s="7" t="s">
        <v>2539</v>
      </c>
    </row>
    <row r="85" customFormat="false" ht="15.75" hidden="false" customHeight="true" outlineLevel="0" collapsed="false">
      <c r="A85" s="7"/>
      <c r="B85" s="7"/>
      <c r="C85" s="7"/>
      <c r="D85" s="7"/>
      <c r="E85" s="7" t="s">
        <v>2540</v>
      </c>
      <c r="F85" s="7"/>
      <c r="G85" s="7"/>
      <c r="H85" s="7"/>
      <c r="I85" s="7"/>
      <c r="J85" s="7"/>
      <c r="K85" s="7"/>
      <c r="L85" s="7"/>
      <c r="M85" s="7"/>
      <c r="N85" s="7" t="s">
        <v>2541</v>
      </c>
      <c r="O85" s="7"/>
      <c r="P85" s="7"/>
      <c r="Q85" s="7" t="s">
        <v>2542</v>
      </c>
      <c r="R85" s="7" t="s">
        <v>2543</v>
      </c>
      <c r="S85" s="7"/>
      <c r="T85" s="7"/>
      <c r="U85" s="7"/>
      <c r="V85" s="7" t="s">
        <v>2544</v>
      </c>
      <c r="W85" s="7"/>
      <c r="X85" s="7"/>
      <c r="Y85" s="7"/>
      <c r="Z85" s="7"/>
      <c r="AA85" s="7"/>
      <c r="AB85" s="7"/>
      <c r="AC85" s="7"/>
      <c r="AD85" s="7" t="s">
        <v>2545</v>
      </c>
      <c r="AE85" s="7"/>
      <c r="AF85" s="7" t="s">
        <v>2546</v>
      </c>
      <c r="AG85" s="7"/>
      <c r="AH85" s="7"/>
      <c r="AI85" s="7" t="s">
        <v>2547</v>
      </c>
    </row>
    <row r="86" customFormat="false" ht="15.75" hidden="false" customHeight="true" outlineLevel="0" collapsed="false">
      <c r="A86" s="7"/>
      <c r="B86" s="7"/>
      <c r="C86" s="7"/>
      <c r="D86" s="7"/>
      <c r="E86" s="7" t="s">
        <v>2548</v>
      </c>
      <c r="F86" s="7"/>
      <c r="G86" s="7"/>
      <c r="H86" s="7"/>
      <c r="I86" s="7"/>
      <c r="J86" s="7"/>
      <c r="K86" s="7"/>
      <c r="L86" s="7"/>
      <c r="M86" s="7"/>
      <c r="N86" s="7" t="s">
        <v>2549</v>
      </c>
      <c r="O86" s="7"/>
      <c r="P86" s="7"/>
      <c r="Q86" s="7" t="s">
        <v>2550</v>
      </c>
      <c r="R86" s="7" t="s">
        <v>2551</v>
      </c>
      <c r="S86" s="7"/>
      <c r="T86" s="7"/>
      <c r="U86" s="7"/>
      <c r="V86" s="7" t="s">
        <v>2552</v>
      </c>
      <c r="W86" s="7"/>
      <c r="X86" s="7"/>
      <c r="Y86" s="7"/>
      <c r="Z86" s="7"/>
      <c r="AA86" s="7"/>
      <c r="AB86" s="7"/>
      <c r="AC86" s="7"/>
      <c r="AD86" s="7" t="s">
        <v>2553</v>
      </c>
      <c r="AE86" s="7"/>
      <c r="AF86" s="7" t="s">
        <v>2554</v>
      </c>
      <c r="AG86" s="7"/>
      <c r="AH86" s="7"/>
      <c r="AI86" s="7" t="s">
        <v>2555</v>
      </c>
    </row>
    <row r="87" customFormat="false" ht="15.75" hidden="false" customHeight="true" outlineLevel="0" collapsed="false">
      <c r="A87" s="7"/>
      <c r="B87" s="7"/>
      <c r="C87" s="7"/>
      <c r="D87" s="7"/>
      <c r="E87" s="7" t="s">
        <v>2556</v>
      </c>
      <c r="F87" s="7"/>
      <c r="G87" s="7"/>
      <c r="H87" s="7"/>
      <c r="I87" s="7"/>
      <c r="J87" s="7"/>
      <c r="K87" s="7"/>
      <c r="L87" s="7"/>
      <c r="M87" s="7"/>
      <c r="N87" s="7" t="s">
        <v>2557</v>
      </c>
      <c r="O87" s="7"/>
      <c r="P87" s="7"/>
      <c r="Q87" s="7" t="s">
        <v>2558</v>
      </c>
      <c r="R87" s="7" t="s">
        <v>1014</v>
      </c>
      <c r="S87" s="7"/>
      <c r="T87" s="7"/>
      <c r="U87" s="7"/>
      <c r="V87" s="7" t="s">
        <v>2559</v>
      </c>
      <c r="W87" s="7"/>
      <c r="X87" s="7"/>
      <c r="Y87" s="7"/>
      <c r="Z87" s="7"/>
      <c r="AA87" s="7"/>
      <c r="AB87" s="7"/>
      <c r="AC87" s="7"/>
      <c r="AD87" s="7" t="s">
        <v>2560</v>
      </c>
      <c r="AE87" s="7"/>
      <c r="AF87" s="7" t="s">
        <v>2561</v>
      </c>
      <c r="AG87" s="7"/>
      <c r="AH87" s="7"/>
      <c r="AI87" s="7" t="s">
        <v>2562</v>
      </c>
    </row>
    <row r="88" customFormat="false" ht="15.75" hidden="false" customHeight="true" outlineLevel="0" collapsed="false">
      <c r="A88" s="7"/>
      <c r="B88" s="7"/>
      <c r="C88" s="7"/>
      <c r="D88" s="7"/>
      <c r="E88" s="7" t="s">
        <v>2563</v>
      </c>
      <c r="F88" s="7"/>
      <c r="G88" s="7"/>
      <c r="H88" s="7"/>
      <c r="I88" s="7"/>
      <c r="J88" s="7"/>
      <c r="K88" s="7"/>
      <c r="L88" s="7"/>
      <c r="M88" s="7"/>
      <c r="N88" s="7" t="s">
        <v>2564</v>
      </c>
      <c r="O88" s="7"/>
      <c r="P88" s="7"/>
      <c r="Q88" s="7" t="s">
        <v>2565</v>
      </c>
      <c r="R88" s="7" t="s">
        <v>2566</v>
      </c>
      <c r="S88" s="7"/>
      <c r="T88" s="7"/>
      <c r="U88" s="7"/>
      <c r="V88" s="7" t="s">
        <v>2567</v>
      </c>
      <c r="W88" s="7"/>
      <c r="X88" s="7"/>
      <c r="Y88" s="7"/>
      <c r="Z88" s="7"/>
      <c r="AA88" s="7"/>
      <c r="AB88" s="7"/>
      <c r="AC88" s="7"/>
      <c r="AD88" s="7" t="s">
        <v>2568</v>
      </c>
      <c r="AE88" s="7"/>
      <c r="AF88" s="7" t="s">
        <v>2569</v>
      </c>
      <c r="AG88" s="7"/>
      <c r="AH88" s="7"/>
      <c r="AI88" s="7" t="s">
        <v>2570</v>
      </c>
    </row>
    <row r="89" customFormat="false" ht="15.75" hidden="false" customHeight="true" outlineLevel="0" collapsed="false">
      <c r="A89" s="7"/>
      <c r="B89" s="7"/>
      <c r="C89" s="7"/>
      <c r="D89" s="7"/>
      <c r="E89" s="7" t="s">
        <v>2571</v>
      </c>
      <c r="F89" s="7"/>
      <c r="G89" s="7"/>
      <c r="H89" s="7"/>
      <c r="I89" s="7"/>
      <c r="J89" s="7"/>
      <c r="K89" s="7"/>
      <c r="L89" s="7"/>
      <c r="M89" s="7"/>
      <c r="N89" s="7" t="s">
        <v>2572</v>
      </c>
      <c r="O89" s="7"/>
      <c r="P89" s="7"/>
      <c r="Q89" s="7" t="s">
        <v>2573</v>
      </c>
      <c r="R89" s="7" t="s">
        <v>2574</v>
      </c>
      <c r="S89" s="7"/>
      <c r="T89" s="7"/>
      <c r="U89" s="7"/>
      <c r="V89" s="7" t="s">
        <v>2575</v>
      </c>
      <c r="W89" s="7"/>
      <c r="X89" s="7"/>
      <c r="Y89" s="7"/>
      <c r="Z89" s="7"/>
      <c r="AA89" s="7"/>
      <c r="AB89" s="7"/>
      <c r="AC89" s="7"/>
      <c r="AD89" s="7" t="s">
        <v>2576</v>
      </c>
      <c r="AE89" s="7"/>
      <c r="AF89" s="7" t="s">
        <v>2577</v>
      </c>
      <c r="AG89" s="7"/>
      <c r="AH89" s="7"/>
      <c r="AI89" s="7" t="s">
        <v>2578</v>
      </c>
    </row>
    <row r="90" customFormat="false" ht="15.75" hidden="false" customHeight="true" outlineLevel="0" collapsed="false">
      <c r="A90" s="7"/>
      <c r="B90" s="7"/>
      <c r="C90" s="7"/>
      <c r="D90" s="7"/>
      <c r="E90" s="7" t="s">
        <v>2579</v>
      </c>
      <c r="F90" s="7"/>
      <c r="G90" s="7"/>
      <c r="H90" s="7"/>
      <c r="I90" s="7"/>
      <c r="J90" s="7"/>
      <c r="K90" s="7"/>
      <c r="L90" s="7"/>
      <c r="M90" s="7"/>
      <c r="N90" s="7" t="s">
        <v>2580</v>
      </c>
      <c r="O90" s="7"/>
      <c r="P90" s="7"/>
      <c r="Q90" s="7" t="s">
        <v>2581</v>
      </c>
      <c r="R90" s="7" t="s">
        <v>2582</v>
      </c>
      <c r="S90" s="7"/>
      <c r="T90" s="7"/>
      <c r="U90" s="7"/>
      <c r="V90" s="7" t="s">
        <v>2583</v>
      </c>
      <c r="W90" s="7"/>
      <c r="X90" s="7"/>
      <c r="Y90" s="7"/>
      <c r="Z90" s="7"/>
      <c r="AA90" s="7"/>
      <c r="AB90" s="7"/>
      <c r="AC90" s="7"/>
      <c r="AD90" s="7" t="s">
        <v>2584</v>
      </c>
      <c r="AE90" s="7"/>
      <c r="AF90" s="7" t="s">
        <v>2585</v>
      </c>
      <c r="AG90" s="7"/>
      <c r="AH90" s="7"/>
      <c r="AI90" s="7" t="s">
        <v>2586</v>
      </c>
    </row>
    <row r="91" customFormat="false" ht="15.75" hidden="false" customHeight="true" outlineLevel="0" collapsed="false">
      <c r="A91" s="7"/>
      <c r="B91" s="7"/>
      <c r="C91" s="7"/>
      <c r="D91" s="7"/>
      <c r="E91" s="7" t="s">
        <v>2587</v>
      </c>
      <c r="F91" s="7"/>
      <c r="G91" s="7"/>
      <c r="H91" s="7"/>
      <c r="I91" s="7"/>
      <c r="J91" s="7"/>
      <c r="K91" s="7"/>
      <c r="L91" s="7"/>
      <c r="M91" s="7"/>
      <c r="N91" s="7" t="s">
        <v>2588</v>
      </c>
      <c r="O91" s="7"/>
      <c r="P91" s="7"/>
      <c r="Q91" s="7" t="s">
        <v>2589</v>
      </c>
      <c r="R91" s="7" t="s">
        <v>2590</v>
      </c>
      <c r="S91" s="7"/>
      <c r="T91" s="7"/>
      <c r="U91" s="7"/>
      <c r="V91" s="7" t="s">
        <v>2591</v>
      </c>
      <c r="W91" s="7"/>
      <c r="X91" s="7"/>
      <c r="Y91" s="7"/>
      <c r="Z91" s="7"/>
      <c r="AA91" s="7"/>
      <c r="AB91" s="7"/>
      <c r="AC91" s="7"/>
      <c r="AD91" s="7" t="s">
        <v>2592</v>
      </c>
      <c r="AE91" s="7"/>
      <c r="AF91" s="7" t="s">
        <v>2593</v>
      </c>
      <c r="AG91" s="7"/>
      <c r="AH91" s="7"/>
      <c r="AI91" s="7" t="s">
        <v>2594</v>
      </c>
    </row>
    <row r="92" customFormat="false" ht="15.75" hidden="false" customHeight="true" outlineLevel="0" collapsed="false">
      <c r="A92" s="7"/>
      <c r="B92" s="7"/>
      <c r="C92" s="7"/>
      <c r="D92" s="7"/>
      <c r="E92" s="7" t="s">
        <v>2595</v>
      </c>
      <c r="F92" s="7"/>
      <c r="G92" s="7"/>
      <c r="H92" s="7"/>
      <c r="I92" s="7"/>
      <c r="J92" s="7"/>
      <c r="K92" s="7"/>
      <c r="L92" s="7"/>
      <c r="M92" s="7"/>
      <c r="N92" s="7" t="s">
        <v>2596</v>
      </c>
      <c r="O92" s="7"/>
      <c r="P92" s="7"/>
      <c r="Q92" s="7" t="s">
        <v>2597</v>
      </c>
      <c r="R92" s="7" t="s">
        <v>2598</v>
      </c>
      <c r="S92" s="7"/>
      <c r="T92" s="7"/>
      <c r="U92" s="7"/>
      <c r="V92" s="7" t="s">
        <v>2599</v>
      </c>
      <c r="W92" s="7"/>
      <c r="X92" s="7"/>
      <c r="Y92" s="7"/>
      <c r="Z92" s="7"/>
      <c r="AA92" s="7"/>
      <c r="AB92" s="7"/>
      <c r="AC92" s="7"/>
      <c r="AD92" s="7" t="s">
        <v>2600</v>
      </c>
      <c r="AE92" s="7"/>
      <c r="AF92" s="7" t="s">
        <v>2601</v>
      </c>
      <c r="AG92" s="7"/>
      <c r="AH92" s="7"/>
      <c r="AI92" s="7" t="s">
        <v>2602</v>
      </c>
    </row>
    <row r="93" customFormat="false" ht="15.75" hidden="false" customHeight="true" outlineLevel="0" collapsed="false">
      <c r="A93" s="7"/>
      <c r="B93" s="7"/>
      <c r="C93" s="7"/>
      <c r="D93" s="7"/>
      <c r="E93" s="7" t="s">
        <v>2603</v>
      </c>
      <c r="F93" s="7"/>
      <c r="G93" s="7"/>
      <c r="H93" s="7"/>
      <c r="I93" s="7"/>
      <c r="J93" s="7"/>
      <c r="K93" s="7"/>
      <c r="L93" s="7"/>
      <c r="M93" s="7"/>
      <c r="N93" s="7" t="s">
        <v>2604</v>
      </c>
      <c r="O93" s="7"/>
      <c r="P93" s="7"/>
      <c r="Q93" s="7" t="s">
        <v>2605</v>
      </c>
      <c r="R93" s="7" t="s">
        <v>2606</v>
      </c>
      <c r="S93" s="7"/>
      <c r="T93" s="7"/>
      <c r="U93" s="7"/>
      <c r="V93" s="7" t="s">
        <v>2607</v>
      </c>
      <c r="W93" s="7"/>
      <c r="X93" s="7"/>
      <c r="Y93" s="7"/>
      <c r="Z93" s="7"/>
      <c r="AA93" s="7"/>
      <c r="AB93" s="7"/>
      <c r="AC93" s="7"/>
      <c r="AD93" s="7" t="s">
        <v>2608</v>
      </c>
      <c r="AE93" s="7"/>
      <c r="AF93" s="7" t="s">
        <v>2609</v>
      </c>
      <c r="AG93" s="7"/>
      <c r="AH93" s="7"/>
      <c r="AI93" s="7" t="s">
        <v>789</v>
      </c>
    </row>
    <row r="94" customFormat="false" ht="15.75" hidden="false" customHeight="true" outlineLevel="0" collapsed="false">
      <c r="A94" s="7"/>
      <c r="B94" s="7"/>
      <c r="C94" s="7"/>
      <c r="D94" s="7"/>
      <c r="E94" s="7" t="s">
        <v>2610</v>
      </c>
      <c r="F94" s="7"/>
      <c r="G94" s="7"/>
      <c r="H94" s="7"/>
      <c r="I94" s="7"/>
      <c r="J94" s="7"/>
      <c r="K94" s="7"/>
      <c r="L94" s="7"/>
      <c r="M94" s="7"/>
      <c r="N94" s="7" t="s">
        <v>2611</v>
      </c>
      <c r="O94" s="7"/>
      <c r="P94" s="7"/>
      <c r="Q94" s="7" t="s">
        <v>2612</v>
      </c>
      <c r="R94" s="7"/>
      <c r="S94" s="7"/>
      <c r="T94" s="7"/>
      <c r="U94" s="7"/>
      <c r="V94" s="7" t="s">
        <v>2613</v>
      </c>
      <c r="W94" s="7"/>
      <c r="X94" s="7"/>
      <c r="Y94" s="7"/>
      <c r="Z94" s="7"/>
      <c r="AA94" s="7"/>
      <c r="AB94" s="7"/>
      <c r="AC94" s="7"/>
      <c r="AD94" s="7" t="s">
        <v>2614</v>
      </c>
      <c r="AE94" s="7"/>
      <c r="AF94" s="7" t="s">
        <v>2615</v>
      </c>
      <c r="AG94" s="7"/>
      <c r="AH94" s="7"/>
      <c r="AI94" s="7" t="s">
        <v>792</v>
      </c>
    </row>
    <row r="95" customFormat="false" ht="15.75" hidden="false" customHeight="true" outlineLevel="0" collapsed="false">
      <c r="A95" s="7"/>
      <c r="B95" s="7"/>
      <c r="C95" s="7"/>
      <c r="D95" s="7"/>
      <c r="E95" s="7" t="s">
        <v>2616</v>
      </c>
      <c r="F95" s="7"/>
      <c r="G95" s="7"/>
      <c r="H95" s="7"/>
      <c r="I95" s="7"/>
      <c r="J95" s="7"/>
      <c r="K95" s="7"/>
      <c r="L95" s="7"/>
      <c r="M95" s="7"/>
      <c r="N95" s="7" t="s">
        <v>2617</v>
      </c>
      <c r="O95" s="7"/>
      <c r="P95" s="7"/>
      <c r="Q95" s="7" t="s">
        <v>2618</v>
      </c>
      <c r="R95" s="7"/>
      <c r="S95" s="7"/>
      <c r="T95" s="7"/>
      <c r="U95" s="7"/>
      <c r="V95" s="7" t="s">
        <v>2619</v>
      </c>
      <c r="W95" s="7"/>
      <c r="X95" s="7"/>
      <c r="Y95" s="7"/>
      <c r="Z95" s="7"/>
      <c r="AA95" s="7"/>
      <c r="AB95" s="7"/>
      <c r="AC95" s="7"/>
      <c r="AD95" s="7" t="s">
        <v>2620</v>
      </c>
      <c r="AE95" s="7"/>
      <c r="AF95" s="7" t="s">
        <v>2621</v>
      </c>
      <c r="AG95" s="7"/>
      <c r="AH95" s="7"/>
      <c r="AI95" s="7"/>
    </row>
    <row r="96" customFormat="false" ht="15.75" hidden="false" customHeight="true" outlineLevel="0" collapsed="false">
      <c r="A96" s="7"/>
      <c r="B96" s="7"/>
      <c r="C96" s="7"/>
      <c r="D96" s="7"/>
      <c r="E96" s="7" t="s">
        <v>2622</v>
      </c>
      <c r="F96" s="7"/>
      <c r="G96" s="7"/>
      <c r="H96" s="7"/>
      <c r="I96" s="7"/>
      <c r="J96" s="7"/>
      <c r="K96" s="7"/>
      <c r="L96" s="7"/>
      <c r="M96" s="7"/>
      <c r="N96" s="7" t="s">
        <v>2623</v>
      </c>
      <c r="O96" s="7"/>
      <c r="P96" s="7"/>
      <c r="Q96" s="7" t="s">
        <v>2624</v>
      </c>
      <c r="R96" s="7"/>
      <c r="S96" s="7"/>
      <c r="T96" s="7"/>
      <c r="U96" s="7"/>
      <c r="V96" s="7" t="s">
        <v>2625</v>
      </c>
      <c r="W96" s="7"/>
      <c r="X96" s="7"/>
      <c r="Y96" s="7"/>
      <c r="Z96" s="7"/>
      <c r="AA96" s="7"/>
      <c r="AB96" s="7"/>
      <c r="AC96" s="7"/>
      <c r="AD96" s="7" t="s">
        <v>2626</v>
      </c>
      <c r="AE96" s="7"/>
      <c r="AF96" s="7" t="s">
        <v>2627</v>
      </c>
      <c r="AG96" s="7"/>
      <c r="AH96" s="7"/>
      <c r="AI96" s="7"/>
    </row>
    <row r="97" customFormat="false" ht="15.75" hidden="false" customHeight="true" outlineLevel="0" collapsed="false">
      <c r="A97" s="7"/>
      <c r="B97" s="7"/>
      <c r="C97" s="7"/>
      <c r="D97" s="7"/>
      <c r="E97" s="7" t="s">
        <v>2628</v>
      </c>
      <c r="F97" s="7"/>
      <c r="G97" s="7"/>
      <c r="H97" s="7"/>
      <c r="I97" s="7"/>
      <c r="J97" s="7"/>
      <c r="K97" s="7"/>
      <c r="L97" s="7"/>
      <c r="M97" s="7"/>
      <c r="N97" s="7" t="s">
        <v>2629</v>
      </c>
      <c r="O97" s="7"/>
      <c r="P97" s="7"/>
      <c r="Q97" s="7" t="s">
        <v>2630</v>
      </c>
      <c r="R97" s="7"/>
      <c r="S97" s="7"/>
      <c r="T97" s="7"/>
      <c r="U97" s="7"/>
      <c r="V97" s="7" t="s">
        <v>2631</v>
      </c>
      <c r="W97" s="7"/>
      <c r="X97" s="7"/>
      <c r="Y97" s="7"/>
      <c r="Z97" s="7"/>
      <c r="AA97" s="7"/>
      <c r="AB97" s="7"/>
      <c r="AC97" s="7"/>
      <c r="AD97" s="7" t="s">
        <v>2632</v>
      </c>
      <c r="AE97" s="7"/>
      <c r="AF97" s="7" t="s">
        <v>2633</v>
      </c>
      <c r="AG97" s="7"/>
      <c r="AH97" s="7"/>
      <c r="AI97" s="7"/>
    </row>
    <row r="98" customFormat="false" ht="15.75" hidden="false" customHeight="true" outlineLevel="0" collapsed="false">
      <c r="A98" s="7"/>
      <c r="B98" s="7"/>
      <c r="C98" s="7"/>
      <c r="D98" s="7"/>
      <c r="E98" s="7" t="s">
        <v>2634</v>
      </c>
      <c r="F98" s="7"/>
      <c r="G98" s="7"/>
      <c r="H98" s="7"/>
      <c r="I98" s="7"/>
      <c r="J98" s="7"/>
      <c r="K98" s="7"/>
      <c r="L98" s="7"/>
      <c r="M98" s="7"/>
      <c r="N98" s="7" t="s">
        <v>2635</v>
      </c>
      <c r="O98" s="7"/>
      <c r="P98" s="7"/>
      <c r="Q98" s="7" t="s">
        <v>2636</v>
      </c>
      <c r="R98" s="7"/>
      <c r="S98" s="7"/>
      <c r="T98" s="7"/>
      <c r="U98" s="7"/>
      <c r="V98" s="7" t="s">
        <v>2637</v>
      </c>
      <c r="W98" s="7"/>
      <c r="X98" s="7"/>
      <c r="Y98" s="7"/>
      <c r="Z98" s="7"/>
      <c r="AA98" s="7"/>
      <c r="AB98" s="7"/>
      <c r="AC98" s="7"/>
      <c r="AD98" s="7" t="s">
        <v>2638</v>
      </c>
      <c r="AE98" s="7"/>
      <c r="AF98" s="7" t="s">
        <v>2639</v>
      </c>
      <c r="AG98" s="7"/>
      <c r="AH98" s="7"/>
      <c r="AI98" s="7"/>
    </row>
    <row r="99" customFormat="false" ht="15.75" hidden="false" customHeight="true" outlineLevel="0" collapsed="false">
      <c r="A99" s="7"/>
      <c r="B99" s="7"/>
      <c r="C99" s="7"/>
      <c r="D99" s="7"/>
      <c r="E99" s="7" t="s">
        <v>2640</v>
      </c>
      <c r="F99" s="7"/>
      <c r="G99" s="7"/>
      <c r="H99" s="7"/>
      <c r="I99" s="7"/>
      <c r="J99" s="7"/>
      <c r="K99" s="7"/>
      <c r="L99" s="7"/>
      <c r="M99" s="7"/>
      <c r="N99" s="7" t="s">
        <v>2641</v>
      </c>
      <c r="O99" s="7"/>
      <c r="P99" s="7"/>
      <c r="Q99" s="7" t="s">
        <v>2642</v>
      </c>
      <c r="R99" s="7"/>
      <c r="S99" s="7"/>
      <c r="T99" s="7"/>
      <c r="U99" s="7"/>
      <c r="V99" s="7" t="s">
        <v>2643</v>
      </c>
      <c r="W99" s="7"/>
      <c r="X99" s="7"/>
      <c r="Y99" s="7"/>
      <c r="Z99" s="7"/>
      <c r="AA99" s="7"/>
      <c r="AB99" s="7"/>
      <c r="AC99" s="7"/>
      <c r="AD99" s="7" t="s">
        <v>2644</v>
      </c>
      <c r="AE99" s="7"/>
      <c r="AF99" s="7" t="s">
        <v>2645</v>
      </c>
      <c r="AG99" s="7"/>
      <c r="AH99" s="7"/>
      <c r="AI99" s="7"/>
    </row>
    <row r="100" customFormat="false" ht="15.75" hidden="false" customHeight="true" outlineLevel="0" collapsed="false">
      <c r="A100" s="7"/>
      <c r="B100" s="7"/>
      <c r="C100" s="7"/>
      <c r="D100" s="7"/>
      <c r="E100" s="7" t="s">
        <v>2646</v>
      </c>
      <c r="F100" s="7"/>
      <c r="G100" s="7"/>
      <c r="H100" s="7"/>
      <c r="I100" s="7"/>
      <c r="J100" s="7"/>
      <c r="K100" s="7"/>
      <c r="L100" s="7"/>
      <c r="M100" s="7"/>
      <c r="N100" s="7" t="s">
        <v>2647</v>
      </c>
      <c r="O100" s="7"/>
      <c r="P100" s="7"/>
      <c r="Q100" s="7" t="s">
        <v>2648</v>
      </c>
      <c r="R100" s="7"/>
      <c r="S100" s="7"/>
      <c r="T100" s="7"/>
      <c r="U100" s="7"/>
      <c r="V100" s="7" t="s">
        <v>2649</v>
      </c>
      <c r="W100" s="7"/>
      <c r="X100" s="7"/>
      <c r="Y100" s="7"/>
      <c r="Z100" s="7"/>
      <c r="AA100" s="7"/>
      <c r="AB100" s="7"/>
      <c r="AC100" s="7"/>
      <c r="AD100" s="7" t="s">
        <v>2650</v>
      </c>
      <c r="AE100" s="7"/>
      <c r="AF100" s="7" t="s">
        <v>2651</v>
      </c>
      <c r="AG100" s="7"/>
      <c r="AH100" s="7"/>
      <c r="AI100" s="7"/>
    </row>
    <row r="101" customFormat="false" ht="15.75" hidden="false" customHeight="true" outlineLevel="0" collapsed="false">
      <c r="A101" s="7"/>
      <c r="B101" s="7"/>
      <c r="C101" s="7"/>
      <c r="D101" s="7"/>
      <c r="E101" s="7" t="s">
        <v>2652</v>
      </c>
      <c r="F101" s="7"/>
      <c r="G101" s="7"/>
      <c r="H101" s="7"/>
      <c r="I101" s="7"/>
      <c r="J101" s="7"/>
      <c r="K101" s="7"/>
      <c r="L101" s="7"/>
      <c r="M101" s="7"/>
      <c r="N101" s="7" t="s">
        <v>2653</v>
      </c>
      <c r="O101" s="7"/>
      <c r="P101" s="7"/>
      <c r="Q101" s="7" t="s">
        <v>2654</v>
      </c>
      <c r="R101" s="7"/>
      <c r="S101" s="7"/>
      <c r="T101" s="7"/>
      <c r="U101" s="7"/>
      <c r="V101" s="7" t="s">
        <v>2655</v>
      </c>
      <c r="W101" s="7"/>
      <c r="X101" s="7"/>
      <c r="Y101" s="7"/>
      <c r="Z101" s="7"/>
      <c r="AA101" s="7"/>
      <c r="AB101" s="7"/>
      <c r="AC101" s="7"/>
      <c r="AD101" s="7" t="s">
        <v>2656</v>
      </c>
      <c r="AE101" s="7"/>
      <c r="AF101" s="7" t="s">
        <v>2657</v>
      </c>
      <c r="AG101" s="7"/>
      <c r="AH101" s="7"/>
      <c r="AI101" s="7"/>
    </row>
    <row r="102" customFormat="false" ht="15.75" hidden="false" customHeight="true" outlineLevel="0" collapsed="false">
      <c r="A102" s="7"/>
      <c r="B102" s="7"/>
      <c r="C102" s="7"/>
      <c r="D102" s="7"/>
      <c r="E102" s="7" t="s">
        <v>2658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 t="s">
        <v>2659</v>
      </c>
      <c r="R102" s="7"/>
      <c r="S102" s="7"/>
      <c r="T102" s="7"/>
      <c r="U102" s="7"/>
      <c r="V102" s="7" t="s">
        <v>2660</v>
      </c>
      <c r="W102" s="7"/>
      <c r="X102" s="7"/>
      <c r="Y102" s="7"/>
      <c r="Z102" s="7"/>
      <c r="AA102" s="7"/>
      <c r="AB102" s="7"/>
      <c r="AC102" s="7"/>
      <c r="AD102" s="7" t="s">
        <v>2661</v>
      </c>
      <c r="AE102" s="7"/>
      <c r="AF102" s="7" t="s">
        <v>2662</v>
      </c>
      <c r="AG102" s="7"/>
      <c r="AH102" s="7"/>
      <c r="AI102" s="7"/>
    </row>
    <row r="103" customFormat="false" ht="15.75" hidden="false" customHeight="true" outlineLevel="0" collapsed="false">
      <c r="A103" s="7"/>
      <c r="B103" s="7"/>
      <c r="C103" s="7"/>
      <c r="D103" s="7"/>
      <c r="E103" s="7" t="s">
        <v>2663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 t="s">
        <v>2664</v>
      </c>
      <c r="R103" s="7"/>
      <c r="S103" s="7"/>
      <c r="T103" s="7"/>
      <c r="U103" s="7"/>
      <c r="V103" s="7" t="s">
        <v>2665</v>
      </c>
      <c r="W103" s="7"/>
      <c r="X103" s="7"/>
      <c r="Y103" s="7"/>
      <c r="Z103" s="7"/>
      <c r="AA103" s="7"/>
      <c r="AB103" s="7"/>
      <c r="AC103" s="7"/>
      <c r="AD103" s="7" t="s">
        <v>2666</v>
      </c>
      <c r="AE103" s="7"/>
      <c r="AF103" s="7" t="s">
        <v>2667</v>
      </c>
      <c r="AG103" s="7"/>
      <c r="AH103" s="7"/>
      <c r="AI103" s="7"/>
    </row>
    <row r="104" customFormat="false" ht="15.75" hidden="false" customHeight="true" outlineLevel="0" collapsed="false">
      <c r="A104" s="7"/>
      <c r="B104" s="7"/>
      <c r="C104" s="7"/>
      <c r="D104" s="7"/>
      <c r="E104" s="7" t="s">
        <v>2668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 t="s">
        <v>2669</v>
      </c>
      <c r="R104" s="7"/>
      <c r="S104" s="7"/>
      <c r="T104" s="7"/>
      <c r="U104" s="7"/>
      <c r="V104" s="7" t="s">
        <v>2670</v>
      </c>
      <c r="W104" s="7"/>
      <c r="X104" s="7"/>
      <c r="Y104" s="7"/>
      <c r="Z104" s="7"/>
      <c r="AA104" s="7"/>
      <c r="AB104" s="7"/>
      <c r="AC104" s="7"/>
      <c r="AD104" s="7" t="s">
        <v>2671</v>
      </c>
      <c r="AE104" s="7"/>
      <c r="AF104" s="7" t="s">
        <v>2672</v>
      </c>
      <c r="AG104" s="7"/>
      <c r="AH104" s="7"/>
      <c r="AI104" s="7"/>
    </row>
    <row r="105" customFormat="false" ht="15.75" hidden="false" customHeight="true" outlineLevel="0" collapsed="false">
      <c r="A105" s="7"/>
      <c r="B105" s="7"/>
      <c r="C105" s="7"/>
      <c r="D105" s="7"/>
      <c r="E105" s="7" t="s">
        <v>2673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 t="s">
        <v>2674</v>
      </c>
      <c r="R105" s="7"/>
      <c r="S105" s="7"/>
      <c r="T105" s="7"/>
      <c r="U105" s="7"/>
      <c r="V105" s="7" t="s">
        <v>2675</v>
      </c>
      <c r="W105" s="7"/>
      <c r="X105" s="7"/>
      <c r="Y105" s="7"/>
      <c r="Z105" s="7"/>
      <c r="AA105" s="7"/>
      <c r="AB105" s="7"/>
      <c r="AC105" s="7"/>
      <c r="AD105" s="7" t="s">
        <v>2676</v>
      </c>
      <c r="AE105" s="7"/>
      <c r="AF105" s="7" t="s">
        <v>2677</v>
      </c>
      <c r="AG105" s="7"/>
      <c r="AH105" s="7"/>
      <c r="AI105" s="7"/>
    </row>
    <row r="106" customFormat="false" ht="15.75" hidden="false" customHeight="true" outlineLevel="0" collapsed="false">
      <c r="A106" s="7"/>
      <c r="B106" s="7"/>
      <c r="C106" s="7"/>
      <c r="D106" s="7"/>
      <c r="E106" s="7" t="s">
        <v>2678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 t="s">
        <v>2679</v>
      </c>
      <c r="R106" s="7"/>
      <c r="S106" s="7"/>
      <c r="T106" s="7"/>
      <c r="U106" s="7"/>
      <c r="V106" s="7" t="s">
        <v>2680</v>
      </c>
      <c r="W106" s="7"/>
      <c r="X106" s="7"/>
      <c r="Y106" s="7"/>
      <c r="Z106" s="7"/>
      <c r="AA106" s="7"/>
      <c r="AB106" s="7"/>
      <c r="AC106" s="7"/>
      <c r="AD106" s="7" t="s">
        <v>2681</v>
      </c>
      <c r="AE106" s="7"/>
      <c r="AF106" s="7" t="s">
        <v>2682</v>
      </c>
      <c r="AG106" s="7"/>
      <c r="AH106" s="7"/>
      <c r="AI106" s="7"/>
    </row>
    <row r="107" customFormat="false" ht="15.75" hidden="false" customHeight="true" outlineLevel="0" collapsed="false">
      <c r="A107" s="7"/>
      <c r="B107" s="7"/>
      <c r="C107" s="7"/>
      <c r="D107" s="7"/>
      <c r="E107" s="7" t="s">
        <v>2683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 t="s">
        <v>2684</v>
      </c>
      <c r="R107" s="7"/>
      <c r="S107" s="7"/>
      <c r="T107" s="7"/>
      <c r="U107" s="7"/>
      <c r="V107" s="7" t="s">
        <v>2685</v>
      </c>
      <c r="W107" s="7"/>
      <c r="X107" s="7"/>
      <c r="Y107" s="7"/>
      <c r="Z107" s="7"/>
      <c r="AA107" s="7"/>
      <c r="AB107" s="7"/>
      <c r="AC107" s="7"/>
      <c r="AD107" s="7" t="s">
        <v>2686</v>
      </c>
      <c r="AE107" s="7"/>
      <c r="AF107" s="7" t="s">
        <v>2687</v>
      </c>
      <c r="AG107" s="7"/>
      <c r="AH107" s="7"/>
      <c r="AI107" s="7"/>
    </row>
    <row r="108" customFormat="false" ht="15.75" hidden="false" customHeight="true" outlineLevel="0" collapsed="false">
      <c r="A108" s="7"/>
      <c r="B108" s="7"/>
      <c r="C108" s="7"/>
      <c r="D108" s="7"/>
      <c r="E108" s="7" t="s">
        <v>2688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 t="s">
        <v>2689</v>
      </c>
      <c r="R108" s="7"/>
      <c r="S108" s="7"/>
      <c r="T108" s="7"/>
      <c r="U108" s="7"/>
      <c r="V108" s="7" t="s">
        <v>2690</v>
      </c>
      <c r="W108" s="7"/>
      <c r="X108" s="7"/>
      <c r="Y108" s="7"/>
      <c r="Z108" s="7"/>
      <c r="AA108" s="7"/>
      <c r="AB108" s="7"/>
      <c r="AC108" s="7"/>
      <c r="AD108" s="7" t="s">
        <v>2691</v>
      </c>
      <c r="AE108" s="7"/>
      <c r="AF108" s="7" t="s">
        <v>2692</v>
      </c>
      <c r="AG108" s="7"/>
      <c r="AH108" s="7"/>
      <c r="AI108" s="7"/>
    </row>
    <row r="109" customFormat="false" ht="15.75" hidden="false" customHeight="true" outlineLevel="0" collapsed="false">
      <c r="A109" s="7"/>
      <c r="B109" s="7"/>
      <c r="C109" s="7"/>
      <c r="D109" s="7"/>
      <c r="E109" s="7" t="s">
        <v>2693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 t="s">
        <v>2694</v>
      </c>
      <c r="R109" s="7"/>
      <c r="S109" s="7"/>
      <c r="T109" s="7"/>
      <c r="U109" s="7"/>
      <c r="V109" s="7" t="s">
        <v>2695</v>
      </c>
      <c r="W109" s="7"/>
      <c r="X109" s="7"/>
      <c r="Y109" s="7"/>
      <c r="Z109" s="7"/>
      <c r="AA109" s="7"/>
      <c r="AB109" s="7"/>
      <c r="AC109" s="7"/>
      <c r="AD109" s="7" t="s">
        <v>2696</v>
      </c>
      <c r="AE109" s="7"/>
      <c r="AF109" s="7" t="s">
        <v>2697</v>
      </c>
      <c r="AG109" s="7"/>
      <c r="AH109" s="7"/>
      <c r="AI109" s="7"/>
    </row>
    <row r="110" customFormat="false" ht="15.75" hidden="false" customHeight="true" outlineLevel="0" collapsed="false">
      <c r="A110" s="7"/>
      <c r="B110" s="7"/>
      <c r="C110" s="7"/>
      <c r="D110" s="7"/>
      <c r="E110" s="7" t="s">
        <v>2698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 t="s">
        <v>2699</v>
      </c>
      <c r="R110" s="7"/>
      <c r="S110" s="7"/>
      <c r="T110" s="7"/>
      <c r="U110" s="7"/>
      <c r="V110" s="7" t="s">
        <v>2700</v>
      </c>
      <c r="W110" s="7"/>
      <c r="X110" s="7"/>
      <c r="Y110" s="7"/>
      <c r="Z110" s="7"/>
      <c r="AA110" s="7"/>
      <c r="AB110" s="7"/>
      <c r="AC110" s="7"/>
      <c r="AD110" s="7" t="s">
        <v>2701</v>
      </c>
      <c r="AE110" s="7"/>
      <c r="AF110" s="7" t="s">
        <v>2702</v>
      </c>
      <c r="AG110" s="7"/>
      <c r="AH110" s="7"/>
      <c r="AI110" s="7"/>
    </row>
    <row r="111" customFormat="false" ht="15.75" hidden="false" customHeight="true" outlineLevel="0" collapsed="false">
      <c r="A111" s="7"/>
      <c r="B111" s="7"/>
      <c r="C111" s="7"/>
      <c r="D111" s="7"/>
      <c r="E111" s="7" t="s">
        <v>2703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 t="s">
        <v>2704</v>
      </c>
      <c r="R111" s="7"/>
      <c r="S111" s="7"/>
      <c r="T111" s="7"/>
      <c r="U111" s="7"/>
      <c r="V111" s="7" t="s">
        <v>2705</v>
      </c>
      <c r="W111" s="7"/>
      <c r="X111" s="7"/>
      <c r="Y111" s="7"/>
      <c r="Z111" s="7"/>
      <c r="AA111" s="7"/>
      <c r="AB111" s="7"/>
      <c r="AC111" s="7"/>
      <c r="AD111" s="7" t="s">
        <v>2706</v>
      </c>
      <c r="AE111" s="7"/>
      <c r="AF111" s="7" t="s">
        <v>2707</v>
      </c>
      <c r="AG111" s="7"/>
      <c r="AH111" s="7"/>
      <c r="AI111" s="7"/>
    </row>
    <row r="112" customFormat="false" ht="15.75" hidden="false" customHeight="true" outlineLevel="0" collapsed="false">
      <c r="A112" s="7"/>
      <c r="B112" s="7"/>
      <c r="C112" s="7"/>
      <c r="D112" s="7"/>
      <c r="E112" s="7" t="s">
        <v>2708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 t="s">
        <v>2709</v>
      </c>
      <c r="R112" s="7"/>
      <c r="S112" s="7"/>
      <c r="T112" s="7"/>
      <c r="U112" s="7"/>
      <c r="V112" s="7" t="s">
        <v>2710</v>
      </c>
      <c r="W112" s="7"/>
      <c r="X112" s="7"/>
      <c r="Y112" s="7"/>
      <c r="Z112" s="7"/>
      <c r="AA112" s="7"/>
      <c r="AB112" s="7"/>
      <c r="AC112" s="7"/>
      <c r="AD112" s="7" t="s">
        <v>2711</v>
      </c>
      <c r="AE112" s="7"/>
      <c r="AF112" s="7" t="s">
        <v>2712</v>
      </c>
      <c r="AG112" s="7"/>
      <c r="AH112" s="7"/>
      <c r="AI112" s="7"/>
    </row>
    <row r="113" customFormat="false" ht="15.75" hidden="false" customHeight="true" outlineLevel="0" collapsed="false">
      <c r="A113" s="7"/>
      <c r="B113" s="7"/>
      <c r="C113" s="7"/>
      <c r="D113" s="7"/>
      <c r="E113" s="7" t="s">
        <v>2713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 t="s">
        <v>2714</v>
      </c>
      <c r="R113" s="7"/>
      <c r="S113" s="7"/>
      <c r="T113" s="7"/>
      <c r="U113" s="7"/>
      <c r="V113" s="7" t="s">
        <v>2715</v>
      </c>
      <c r="W113" s="7"/>
      <c r="X113" s="7"/>
      <c r="Y113" s="7"/>
      <c r="Z113" s="7"/>
      <c r="AA113" s="7"/>
      <c r="AB113" s="7"/>
      <c r="AC113" s="7"/>
      <c r="AD113" s="7" t="s">
        <v>2716</v>
      </c>
      <c r="AE113" s="7"/>
      <c r="AF113" s="7" t="s">
        <v>2717</v>
      </c>
      <c r="AG113" s="7"/>
      <c r="AH113" s="7"/>
      <c r="AI113" s="7"/>
    </row>
    <row r="114" customFormat="false" ht="15.75" hidden="false" customHeight="true" outlineLevel="0" collapsed="false">
      <c r="A114" s="7"/>
      <c r="B114" s="7"/>
      <c r="C114" s="7"/>
      <c r="D114" s="7"/>
      <c r="E114" s="7" t="s">
        <v>2718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 t="s">
        <v>2719</v>
      </c>
      <c r="R114" s="7"/>
      <c r="S114" s="7"/>
      <c r="T114" s="7"/>
      <c r="U114" s="7"/>
      <c r="V114" s="7" t="s">
        <v>2720</v>
      </c>
      <c r="W114" s="7"/>
      <c r="X114" s="7"/>
      <c r="Y114" s="7"/>
      <c r="Z114" s="7"/>
      <c r="AA114" s="7"/>
      <c r="AB114" s="7"/>
      <c r="AC114" s="7"/>
      <c r="AD114" s="7" t="s">
        <v>2721</v>
      </c>
      <c r="AE114" s="7"/>
      <c r="AF114" s="7" t="s">
        <v>2722</v>
      </c>
      <c r="AG114" s="7"/>
      <c r="AH114" s="7"/>
      <c r="AI114" s="7"/>
    </row>
    <row r="115" customFormat="false" ht="15.75" hidden="false" customHeight="true" outlineLevel="0" collapsed="false">
      <c r="A115" s="7"/>
      <c r="B115" s="7"/>
      <c r="C115" s="7"/>
      <c r="D115" s="7"/>
      <c r="E115" s="7" t="s">
        <v>2723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 t="s">
        <v>2724</v>
      </c>
      <c r="R115" s="7"/>
      <c r="S115" s="7"/>
      <c r="T115" s="7"/>
      <c r="U115" s="7"/>
      <c r="V115" s="7" t="s">
        <v>2725</v>
      </c>
      <c r="W115" s="7"/>
      <c r="X115" s="7"/>
      <c r="Y115" s="7"/>
      <c r="Z115" s="7"/>
      <c r="AA115" s="7"/>
      <c r="AB115" s="7"/>
      <c r="AC115" s="7"/>
      <c r="AD115" s="7" t="s">
        <v>2726</v>
      </c>
      <c r="AE115" s="7"/>
      <c r="AF115" s="7" t="s">
        <v>2727</v>
      </c>
      <c r="AG115" s="7"/>
      <c r="AH115" s="7"/>
      <c r="AI115" s="7"/>
    </row>
    <row r="116" customFormat="false" ht="15.75" hidden="false" customHeight="true" outlineLevel="0" collapsed="false">
      <c r="A116" s="7"/>
      <c r="B116" s="7"/>
      <c r="C116" s="7"/>
      <c r="D116" s="7"/>
      <c r="E116" s="7" t="s">
        <v>2728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 t="s">
        <v>2729</v>
      </c>
      <c r="R116" s="7"/>
      <c r="S116" s="7"/>
      <c r="T116" s="7"/>
      <c r="U116" s="7"/>
      <c r="V116" s="7" t="s">
        <v>2730</v>
      </c>
      <c r="W116" s="7"/>
      <c r="X116" s="7"/>
      <c r="Y116" s="7"/>
      <c r="Z116" s="7"/>
      <c r="AA116" s="7"/>
      <c r="AB116" s="7"/>
      <c r="AC116" s="7"/>
      <c r="AD116" s="7" t="s">
        <v>2731</v>
      </c>
      <c r="AE116" s="7"/>
      <c r="AF116" s="7" t="s">
        <v>2732</v>
      </c>
      <c r="AG116" s="7"/>
      <c r="AH116" s="7"/>
      <c r="AI116" s="7"/>
    </row>
    <row r="117" customFormat="false" ht="15.75" hidden="false" customHeight="true" outlineLevel="0" collapsed="false">
      <c r="A117" s="7"/>
      <c r="B117" s="7"/>
      <c r="C117" s="7"/>
      <c r="D117" s="7"/>
      <c r="E117" s="7" t="s">
        <v>2733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 t="s">
        <v>2734</v>
      </c>
      <c r="R117" s="7"/>
      <c r="S117" s="7"/>
      <c r="T117" s="7"/>
      <c r="U117" s="7"/>
      <c r="V117" s="7" t="s">
        <v>2735</v>
      </c>
      <c r="W117" s="7"/>
      <c r="X117" s="7"/>
      <c r="Y117" s="7"/>
      <c r="Z117" s="7"/>
      <c r="AA117" s="7"/>
      <c r="AB117" s="7"/>
      <c r="AC117" s="7"/>
      <c r="AD117" s="7" t="s">
        <v>2736</v>
      </c>
      <c r="AE117" s="7"/>
      <c r="AF117" s="7" t="s">
        <v>2737</v>
      </c>
      <c r="AG117" s="7"/>
      <c r="AH117" s="7"/>
      <c r="AI117" s="7"/>
    </row>
    <row r="118" customFormat="false" ht="15.75" hidden="false" customHeight="true" outlineLevel="0" collapsed="false">
      <c r="A118" s="7"/>
      <c r="B118" s="7"/>
      <c r="C118" s="7"/>
      <c r="D118" s="7"/>
      <c r="E118" s="7" t="s">
        <v>2738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 t="s">
        <v>2739</v>
      </c>
      <c r="R118" s="7"/>
      <c r="S118" s="7"/>
      <c r="T118" s="7"/>
      <c r="U118" s="7"/>
      <c r="V118" s="7" t="s">
        <v>2740</v>
      </c>
      <c r="W118" s="7"/>
      <c r="X118" s="7"/>
      <c r="Y118" s="7"/>
      <c r="Z118" s="7"/>
      <c r="AA118" s="7"/>
      <c r="AB118" s="7"/>
      <c r="AC118" s="7"/>
      <c r="AD118" s="7" t="s">
        <v>2741</v>
      </c>
      <c r="AE118" s="7"/>
      <c r="AF118" s="7" t="s">
        <v>2742</v>
      </c>
      <c r="AG118" s="7"/>
      <c r="AH118" s="7"/>
      <c r="AI118" s="7"/>
    </row>
    <row r="119" customFormat="false" ht="15.75" hidden="false" customHeight="true" outlineLevel="0" collapsed="false">
      <c r="A119" s="7"/>
      <c r="B119" s="7"/>
      <c r="C119" s="7"/>
      <c r="D119" s="7"/>
      <c r="E119" s="7" t="s">
        <v>2743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 t="s">
        <v>2744</v>
      </c>
      <c r="R119" s="7"/>
      <c r="S119" s="7"/>
      <c r="T119" s="7"/>
      <c r="U119" s="7"/>
      <c r="V119" s="7" t="s">
        <v>2745</v>
      </c>
      <c r="W119" s="7"/>
      <c r="X119" s="7"/>
      <c r="Y119" s="7"/>
      <c r="Z119" s="7"/>
      <c r="AA119" s="7"/>
      <c r="AB119" s="7"/>
      <c r="AC119" s="7"/>
      <c r="AD119" s="7" t="s">
        <v>2746</v>
      </c>
      <c r="AE119" s="7"/>
      <c r="AF119" s="7" t="s">
        <v>2747</v>
      </c>
      <c r="AG119" s="7"/>
      <c r="AH119" s="7"/>
      <c r="AI119" s="7"/>
    </row>
    <row r="120" customFormat="false" ht="15.75" hidden="false" customHeight="true" outlineLevel="0" collapsed="false">
      <c r="A120" s="7"/>
      <c r="B120" s="7"/>
      <c r="C120" s="7"/>
      <c r="D120" s="7"/>
      <c r="E120" s="7" t="s">
        <v>2748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 t="s">
        <v>2749</v>
      </c>
      <c r="R120" s="7"/>
      <c r="S120" s="7"/>
      <c r="T120" s="7"/>
      <c r="U120" s="7"/>
      <c r="V120" s="7" t="s">
        <v>2750</v>
      </c>
      <c r="W120" s="7"/>
      <c r="X120" s="7"/>
      <c r="Y120" s="7"/>
      <c r="Z120" s="7"/>
      <c r="AA120" s="7"/>
      <c r="AB120" s="7"/>
      <c r="AC120" s="7"/>
      <c r="AD120" s="7" t="s">
        <v>2751</v>
      </c>
      <c r="AE120" s="7"/>
      <c r="AF120" s="7" t="s">
        <v>2752</v>
      </c>
      <c r="AG120" s="7"/>
      <c r="AH120" s="7"/>
      <c r="AI120" s="7"/>
    </row>
    <row r="121" customFormat="false" ht="15.75" hidden="false" customHeight="true" outlineLevel="0" collapsed="false">
      <c r="A121" s="7"/>
      <c r="B121" s="7"/>
      <c r="C121" s="7"/>
      <c r="D121" s="7"/>
      <c r="E121" s="7" t="s">
        <v>2753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 t="s">
        <v>2754</v>
      </c>
      <c r="R121" s="7"/>
      <c r="S121" s="7"/>
      <c r="T121" s="7"/>
      <c r="U121" s="7"/>
      <c r="V121" s="7" t="s">
        <v>2755</v>
      </c>
      <c r="W121" s="7"/>
      <c r="X121" s="7"/>
      <c r="Y121" s="7"/>
      <c r="Z121" s="7"/>
      <c r="AA121" s="7"/>
      <c r="AB121" s="7"/>
      <c r="AC121" s="7"/>
      <c r="AD121" s="7" t="s">
        <v>2756</v>
      </c>
      <c r="AE121" s="7"/>
      <c r="AF121" s="7" t="s">
        <v>2757</v>
      </c>
      <c r="AG121" s="7"/>
      <c r="AH121" s="7"/>
      <c r="AI121" s="7"/>
    </row>
    <row r="122" customFormat="false" ht="15.75" hidden="false" customHeight="true" outlineLevel="0" collapsed="false">
      <c r="A122" s="7"/>
      <c r="B122" s="7"/>
      <c r="C122" s="7"/>
      <c r="D122" s="7"/>
      <c r="E122" s="7" t="s">
        <v>2758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 t="s">
        <v>2759</v>
      </c>
      <c r="R122" s="7"/>
      <c r="S122" s="7"/>
      <c r="T122" s="7"/>
      <c r="U122" s="7"/>
      <c r="V122" s="7" t="s">
        <v>2760</v>
      </c>
      <c r="W122" s="7"/>
      <c r="X122" s="7"/>
      <c r="Y122" s="7"/>
      <c r="Z122" s="7"/>
      <c r="AA122" s="7"/>
      <c r="AB122" s="7"/>
      <c r="AC122" s="7"/>
      <c r="AD122" s="7" t="s">
        <v>2761</v>
      </c>
      <c r="AE122" s="7"/>
      <c r="AF122" s="7" t="s">
        <v>2762</v>
      </c>
      <c r="AG122" s="7"/>
      <c r="AH122" s="7"/>
      <c r="AI122" s="7"/>
    </row>
    <row r="123" customFormat="false" ht="15.75" hidden="false" customHeight="true" outlineLevel="0" collapsed="false">
      <c r="A123" s="7"/>
      <c r="B123" s="7"/>
      <c r="C123" s="7"/>
      <c r="D123" s="7"/>
      <c r="E123" s="7" t="s">
        <v>2763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 t="s">
        <v>2764</v>
      </c>
      <c r="R123" s="7"/>
      <c r="S123" s="7"/>
      <c r="T123" s="7"/>
      <c r="U123" s="7"/>
      <c r="V123" s="7" t="s">
        <v>2765</v>
      </c>
      <c r="W123" s="7"/>
      <c r="X123" s="7"/>
      <c r="Y123" s="7"/>
      <c r="Z123" s="7"/>
      <c r="AA123" s="7"/>
      <c r="AB123" s="7"/>
      <c r="AC123" s="7"/>
      <c r="AD123" s="7" t="s">
        <v>2766</v>
      </c>
      <c r="AE123" s="7"/>
      <c r="AF123" s="7" t="s">
        <v>2767</v>
      </c>
      <c r="AG123" s="7"/>
      <c r="AH123" s="7"/>
      <c r="AI123" s="7"/>
    </row>
    <row r="124" customFormat="false" ht="15.75" hidden="false" customHeight="true" outlineLevel="0" collapsed="false">
      <c r="A124" s="7"/>
      <c r="B124" s="7"/>
      <c r="C124" s="7"/>
      <c r="D124" s="7"/>
      <c r="E124" s="7" t="s">
        <v>2768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 t="s">
        <v>2769</v>
      </c>
      <c r="R124" s="7"/>
      <c r="S124" s="7"/>
      <c r="T124" s="7"/>
      <c r="U124" s="7"/>
      <c r="V124" s="7" t="s">
        <v>2770</v>
      </c>
      <c r="W124" s="7"/>
      <c r="X124" s="7"/>
      <c r="Y124" s="7"/>
      <c r="Z124" s="7"/>
      <c r="AA124" s="7"/>
      <c r="AB124" s="7"/>
      <c r="AC124" s="7"/>
      <c r="AD124" s="7" t="s">
        <v>2771</v>
      </c>
      <c r="AE124" s="7"/>
      <c r="AF124" s="7" t="s">
        <v>2772</v>
      </c>
      <c r="AG124" s="7"/>
      <c r="AH124" s="7"/>
      <c r="AI124" s="7"/>
    </row>
    <row r="125" customFormat="false" ht="15.75" hidden="false" customHeight="true" outlineLevel="0" collapsed="false">
      <c r="A125" s="7"/>
      <c r="B125" s="7"/>
      <c r="C125" s="7"/>
      <c r="D125" s="7"/>
      <c r="E125" s="7" t="s">
        <v>2773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 t="s">
        <v>2774</v>
      </c>
      <c r="R125" s="7"/>
      <c r="S125" s="7"/>
      <c r="T125" s="7"/>
      <c r="U125" s="7"/>
      <c r="V125" s="7" t="s">
        <v>2775</v>
      </c>
      <c r="W125" s="7"/>
      <c r="X125" s="7"/>
      <c r="Y125" s="7"/>
      <c r="Z125" s="7"/>
      <c r="AA125" s="7"/>
      <c r="AB125" s="7"/>
      <c r="AC125" s="7"/>
      <c r="AD125" s="7" t="s">
        <v>2776</v>
      </c>
      <c r="AE125" s="7"/>
      <c r="AF125" s="7" t="s">
        <v>2777</v>
      </c>
      <c r="AG125" s="7"/>
      <c r="AH125" s="7"/>
      <c r="AI125" s="7"/>
    </row>
    <row r="126" customFormat="false" ht="15.75" hidden="false" customHeight="true" outlineLevel="0" collapsed="false">
      <c r="A126" s="7"/>
      <c r="B126" s="7"/>
      <c r="C126" s="7"/>
      <c r="D126" s="7"/>
      <c r="E126" s="7" t="s">
        <v>2778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 t="s">
        <v>2779</v>
      </c>
      <c r="R126" s="7"/>
      <c r="S126" s="7"/>
      <c r="T126" s="7"/>
      <c r="U126" s="7"/>
      <c r="V126" s="7" t="s">
        <v>2780</v>
      </c>
      <c r="W126" s="7"/>
      <c r="X126" s="7"/>
      <c r="Y126" s="7"/>
      <c r="Z126" s="7"/>
      <c r="AA126" s="7"/>
      <c r="AB126" s="7"/>
      <c r="AC126" s="7"/>
      <c r="AD126" s="7" t="s">
        <v>2781</v>
      </c>
      <c r="AE126" s="7"/>
      <c r="AF126" s="7" t="s">
        <v>2782</v>
      </c>
      <c r="AG126" s="7"/>
      <c r="AH126" s="7"/>
      <c r="AI126" s="7"/>
    </row>
    <row r="127" customFormat="false" ht="15.75" hidden="false" customHeight="true" outlineLevel="0" collapsed="false">
      <c r="A127" s="7"/>
      <c r="B127" s="7"/>
      <c r="C127" s="7"/>
      <c r="D127" s="7"/>
      <c r="E127" s="7" t="s">
        <v>2783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 t="s">
        <v>2784</v>
      </c>
      <c r="R127" s="7"/>
      <c r="S127" s="7"/>
      <c r="T127" s="7"/>
      <c r="U127" s="7"/>
      <c r="V127" s="7" t="s">
        <v>2785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 t="s">
        <v>2786</v>
      </c>
      <c r="AG127" s="7"/>
      <c r="AH127" s="7"/>
      <c r="AI127" s="7"/>
    </row>
    <row r="128" customFormat="false" ht="15.75" hidden="false" customHeight="true" outlineLevel="0" collapsed="false">
      <c r="A128" s="7"/>
      <c r="B128" s="7"/>
      <c r="C128" s="7"/>
      <c r="D128" s="7"/>
      <c r="E128" s="7" t="s">
        <v>2787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 t="s">
        <v>2788</v>
      </c>
      <c r="R128" s="7"/>
      <c r="S128" s="7"/>
      <c r="T128" s="7"/>
      <c r="U128" s="7"/>
      <c r="V128" s="7" t="s">
        <v>2789</v>
      </c>
      <c r="W128" s="7"/>
      <c r="X128" s="7"/>
      <c r="Y128" s="7"/>
      <c r="Z128" s="7"/>
      <c r="AA128" s="7"/>
      <c r="AB128" s="7"/>
      <c r="AC128" s="7"/>
      <c r="AD128" s="7"/>
      <c r="AE128" s="7"/>
      <c r="AF128" s="7" t="s">
        <v>2790</v>
      </c>
      <c r="AG128" s="7"/>
      <c r="AH128" s="7"/>
      <c r="AI128" s="7"/>
    </row>
    <row r="129" customFormat="false" ht="15.75" hidden="false" customHeight="true" outlineLevel="0" collapsed="false">
      <c r="A129" s="7"/>
      <c r="B129" s="7"/>
      <c r="C129" s="7"/>
      <c r="D129" s="7"/>
      <c r="E129" s="7" t="s">
        <v>2791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 t="s">
        <v>2792</v>
      </c>
      <c r="R129" s="7"/>
      <c r="S129" s="7"/>
      <c r="T129" s="7"/>
      <c r="U129" s="7"/>
      <c r="V129" s="7" t="s">
        <v>2793</v>
      </c>
      <c r="W129" s="7"/>
      <c r="X129" s="7"/>
      <c r="Y129" s="7"/>
      <c r="Z129" s="7"/>
      <c r="AA129" s="7"/>
      <c r="AB129" s="7"/>
      <c r="AC129" s="7"/>
      <c r="AD129" s="7"/>
      <c r="AE129" s="7"/>
      <c r="AF129" s="7" t="s">
        <v>2794</v>
      </c>
      <c r="AG129" s="7"/>
      <c r="AH129" s="7"/>
      <c r="AI129" s="7"/>
    </row>
    <row r="130" customFormat="false" ht="15.75" hidden="false" customHeight="true" outlineLevel="0" collapsed="false">
      <c r="A130" s="7"/>
      <c r="B130" s="7"/>
      <c r="C130" s="7"/>
      <c r="D130" s="7"/>
      <c r="E130" s="7" t="s">
        <v>2795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 t="s">
        <v>2796</v>
      </c>
      <c r="R130" s="7"/>
      <c r="S130" s="7"/>
      <c r="T130" s="7"/>
      <c r="U130" s="7"/>
      <c r="V130" s="7" t="s">
        <v>2797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 t="s">
        <v>2798</v>
      </c>
      <c r="AG130" s="7"/>
      <c r="AH130" s="7"/>
      <c r="AI130" s="7"/>
    </row>
    <row r="131" customFormat="false" ht="15.75" hidden="false" customHeight="true" outlineLevel="0" collapsed="false">
      <c r="A131" s="7"/>
      <c r="B131" s="7"/>
      <c r="C131" s="7"/>
      <c r="D131" s="7"/>
      <c r="E131" s="7" t="s">
        <v>2799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 t="s">
        <v>2800</v>
      </c>
      <c r="R131" s="7"/>
      <c r="S131" s="7"/>
      <c r="T131" s="7"/>
      <c r="U131" s="7"/>
      <c r="V131" s="7" t="s">
        <v>2801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 t="s">
        <v>2802</v>
      </c>
      <c r="AG131" s="7"/>
      <c r="AH131" s="7"/>
      <c r="AI131" s="7"/>
    </row>
    <row r="132" customFormat="false" ht="15.75" hidden="false" customHeight="true" outlineLevel="0" collapsed="false">
      <c r="A132" s="7"/>
      <c r="B132" s="7"/>
      <c r="C132" s="7"/>
      <c r="D132" s="7"/>
      <c r="E132" s="7" t="s">
        <v>2803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 t="s">
        <v>2804</v>
      </c>
      <c r="R132" s="7"/>
      <c r="S132" s="7"/>
      <c r="T132" s="7"/>
      <c r="U132" s="7"/>
      <c r="V132" s="7" t="s">
        <v>2805</v>
      </c>
      <c r="W132" s="7"/>
      <c r="X132" s="7"/>
      <c r="Y132" s="7"/>
      <c r="Z132" s="7"/>
      <c r="AA132" s="7"/>
      <c r="AB132" s="7"/>
      <c r="AC132" s="7"/>
      <c r="AD132" s="7"/>
      <c r="AE132" s="7"/>
      <c r="AF132" s="7" t="s">
        <v>2806</v>
      </c>
      <c r="AG132" s="7"/>
      <c r="AH132" s="7"/>
      <c r="AI132" s="7"/>
    </row>
    <row r="133" customFormat="false" ht="15.75" hidden="false" customHeight="true" outlineLevel="0" collapsed="false">
      <c r="A133" s="7"/>
      <c r="B133" s="7"/>
      <c r="C133" s="7"/>
      <c r="D133" s="7"/>
      <c r="E133" s="7" t="s">
        <v>2807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 t="s">
        <v>2808</v>
      </c>
      <c r="R133" s="7"/>
      <c r="S133" s="7"/>
      <c r="T133" s="7"/>
      <c r="U133" s="7"/>
      <c r="V133" s="7" t="s">
        <v>2809</v>
      </c>
      <c r="W133" s="7"/>
      <c r="X133" s="7"/>
      <c r="Y133" s="7"/>
      <c r="Z133" s="7"/>
      <c r="AA133" s="7"/>
      <c r="AB133" s="7"/>
      <c r="AC133" s="7"/>
      <c r="AD133" s="7"/>
      <c r="AE133" s="7"/>
      <c r="AF133" s="7" t="s">
        <v>2810</v>
      </c>
      <c r="AG133" s="7"/>
      <c r="AH133" s="7"/>
      <c r="AI133" s="7"/>
    </row>
    <row r="134" customFormat="false" ht="15.75" hidden="false" customHeight="true" outlineLevel="0" collapsed="false">
      <c r="A134" s="7"/>
      <c r="B134" s="7"/>
      <c r="C134" s="7"/>
      <c r="D134" s="7"/>
      <c r="E134" s="7" t="s">
        <v>2811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 t="s">
        <v>2812</v>
      </c>
      <c r="R134" s="7"/>
      <c r="S134" s="7"/>
      <c r="T134" s="7"/>
      <c r="U134" s="7"/>
      <c r="V134" s="7" t="s">
        <v>2813</v>
      </c>
      <c r="W134" s="7"/>
      <c r="X134" s="7"/>
      <c r="Y134" s="7"/>
      <c r="Z134" s="7"/>
      <c r="AA134" s="7"/>
      <c r="AB134" s="7"/>
      <c r="AC134" s="7"/>
      <c r="AD134" s="7"/>
      <c r="AE134" s="7"/>
      <c r="AF134" s="7" t="s">
        <v>2814</v>
      </c>
      <c r="AG134" s="7"/>
      <c r="AH134" s="7"/>
      <c r="AI134" s="7"/>
    </row>
    <row r="135" customFormat="false" ht="15.75" hidden="false" customHeight="true" outlineLevel="0" collapsed="false">
      <c r="A135" s="7"/>
      <c r="B135" s="7"/>
      <c r="C135" s="7"/>
      <c r="D135" s="7"/>
      <c r="E135" s="7" t="s">
        <v>2815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 t="s">
        <v>2816</v>
      </c>
      <c r="R135" s="7"/>
      <c r="S135" s="7"/>
      <c r="T135" s="7"/>
      <c r="U135" s="7"/>
      <c r="V135" s="7" t="s">
        <v>2817</v>
      </c>
      <c r="W135" s="7"/>
      <c r="X135" s="7"/>
      <c r="Y135" s="7"/>
      <c r="Z135" s="7"/>
      <c r="AA135" s="7"/>
      <c r="AB135" s="7"/>
      <c r="AC135" s="7"/>
      <c r="AD135" s="7"/>
      <c r="AE135" s="7"/>
      <c r="AF135" s="7" t="s">
        <v>2818</v>
      </c>
      <c r="AG135" s="7"/>
      <c r="AH135" s="7"/>
      <c r="AI135" s="7"/>
    </row>
    <row r="136" customFormat="false" ht="15.75" hidden="false" customHeight="true" outlineLevel="0" collapsed="false">
      <c r="A136" s="7"/>
      <c r="B136" s="7"/>
      <c r="C136" s="7"/>
      <c r="D136" s="7"/>
      <c r="E136" s="7" t="s">
        <v>2819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 t="s">
        <v>2820</v>
      </c>
      <c r="R136" s="7"/>
      <c r="S136" s="7"/>
      <c r="T136" s="7"/>
      <c r="U136" s="7"/>
      <c r="V136" s="7" t="s">
        <v>2821</v>
      </c>
      <c r="W136" s="7"/>
      <c r="X136" s="7"/>
      <c r="Y136" s="7"/>
      <c r="Z136" s="7"/>
      <c r="AA136" s="7"/>
      <c r="AB136" s="7"/>
      <c r="AC136" s="7"/>
      <c r="AD136" s="7"/>
      <c r="AE136" s="7"/>
      <c r="AF136" s="7" t="s">
        <v>2822</v>
      </c>
      <c r="AG136" s="7"/>
      <c r="AH136" s="7"/>
      <c r="AI136" s="7"/>
    </row>
    <row r="137" customFormat="false" ht="15.75" hidden="false" customHeight="true" outlineLevel="0" collapsed="false">
      <c r="A137" s="7"/>
      <c r="B137" s="7"/>
      <c r="C137" s="7"/>
      <c r="D137" s="7"/>
      <c r="E137" s="7" t="s">
        <v>2823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 t="s">
        <v>2824</v>
      </c>
      <c r="R137" s="7"/>
      <c r="S137" s="7"/>
      <c r="T137" s="7"/>
      <c r="U137" s="7"/>
      <c r="V137" s="7" t="s">
        <v>2825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 t="s">
        <v>2826</v>
      </c>
      <c r="AG137" s="7"/>
      <c r="AH137" s="7"/>
      <c r="AI137" s="7"/>
    </row>
    <row r="138" customFormat="false" ht="15.75" hidden="false" customHeight="true" outlineLevel="0" collapsed="false">
      <c r="A138" s="7"/>
      <c r="B138" s="7"/>
      <c r="C138" s="7"/>
      <c r="D138" s="7"/>
      <c r="E138" s="7" t="s">
        <v>2827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 t="s">
        <v>2828</v>
      </c>
      <c r="R138" s="7"/>
      <c r="S138" s="7"/>
      <c r="T138" s="7"/>
      <c r="U138" s="7"/>
      <c r="V138" s="7" t="s">
        <v>2829</v>
      </c>
      <c r="W138" s="7"/>
      <c r="X138" s="7"/>
      <c r="Y138" s="7"/>
      <c r="Z138" s="7"/>
      <c r="AA138" s="7"/>
      <c r="AB138" s="7"/>
      <c r="AC138" s="7"/>
      <c r="AD138" s="7"/>
      <c r="AE138" s="7"/>
      <c r="AF138" s="7" t="s">
        <v>2830</v>
      </c>
      <c r="AG138" s="7"/>
      <c r="AH138" s="7"/>
      <c r="AI138" s="7"/>
    </row>
    <row r="139" customFormat="false" ht="15.75" hidden="false" customHeight="true" outlineLevel="0" collapsed="false">
      <c r="A139" s="7"/>
      <c r="B139" s="7"/>
      <c r="C139" s="7"/>
      <c r="D139" s="7"/>
      <c r="E139" s="7" t="s">
        <v>2831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 t="s">
        <v>2832</v>
      </c>
      <c r="R139" s="7"/>
      <c r="S139" s="7"/>
      <c r="T139" s="7"/>
      <c r="U139" s="7"/>
      <c r="V139" s="7" t="s">
        <v>2833</v>
      </c>
      <c r="W139" s="7"/>
      <c r="X139" s="7"/>
      <c r="Y139" s="7"/>
      <c r="Z139" s="7"/>
      <c r="AA139" s="7"/>
      <c r="AB139" s="7"/>
      <c r="AC139" s="7"/>
      <c r="AD139" s="7"/>
      <c r="AE139" s="7"/>
      <c r="AF139" s="7" t="s">
        <v>2834</v>
      </c>
      <c r="AG139" s="7"/>
      <c r="AH139" s="7"/>
      <c r="AI139" s="7"/>
    </row>
    <row r="140" customFormat="false" ht="15.75" hidden="false" customHeight="true" outlineLevel="0" collapsed="false">
      <c r="A140" s="7"/>
      <c r="B140" s="7"/>
      <c r="C140" s="7"/>
      <c r="D140" s="7"/>
      <c r="E140" s="7" t="s">
        <v>2835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 t="s">
        <v>2836</v>
      </c>
      <c r="R140" s="7"/>
      <c r="S140" s="7"/>
      <c r="T140" s="7"/>
      <c r="U140" s="7"/>
      <c r="V140" s="7" t="s">
        <v>2837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 t="s">
        <v>2838</v>
      </c>
      <c r="AG140" s="7"/>
      <c r="AH140" s="7"/>
      <c r="AI140" s="7"/>
    </row>
    <row r="141" customFormat="false" ht="15.75" hidden="false" customHeight="true" outlineLevel="0" collapsed="false">
      <c r="A141" s="7"/>
      <c r="B141" s="7"/>
      <c r="C141" s="7"/>
      <c r="D141" s="7"/>
      <c r="E141" s="7" t="s">
        <v>2839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 t="s">
        <v>2840</v>
      </c>
      <c r="R141" s="7"/>
      <c r="S141" s="7"/>
      <c r="T141" s="7"/>
      <c r="U141" s="7"/>
      <c r="V141" s="7" t="s">
        <v>2841</v>
      </c>
      <c r="W141" s="7"/>
      <c r="X141" s="7"/>
      <c r="Y141" s="7"/>
      <c r="Z141" s="7"/>
      <c r="AA141" s="7"/>
      <c r="AB141" s="7"/>
      <c r="AC141" s="7"/>
      <c r="AD141" s="7"/>
      <c r="AE141" s="7"/>
      <c r="AF141" s="7" t="s">
        <v>2842</v>
      </c>
      <c r="AG141" s="7"/>
      <c r="AH141" s="7"/>
      <c r="AI141" s="7"/>
    </row>
    <row r="142" customFormat="false" ht="15.75" hidden="false" customHeight="true" outlineLevel="0" collapsed="false">
      <c r="A142" s="7"/>
      <c r="B142" s="7"/>
      <c r="C142" s="7"/>
      <c r="D142" s="7"/>
      <c r="E142" s="7" t="s">
        <v>2843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 t="s">
        <v>2844</v>
      </c>
      <c r="R142" s="7"/>
      <c r="S142" s="7"/>
      <c r="T142" s="7"/>
      <c r="U142" s="7"/>
      <c r="V142" s="7" t="s">
        <v>2845</v>
      </c>
      <c r="W142" s="7"/>
      <c r="X142" s="7"/>
      <c r="Y142" s="7"/>
      <c r="Z142" s="7"/>
      <c r="AA142" s="7"/>
      <c r="AB142" s="7"/>
      <c r="AC142" s="7"/>
      <c r="AD142" s="7"/>
      <c r="AE142" s="7"/>
      <c r="AF142" s="7" t="s">
        <v>2846</v>
      </c>
      <c r="AG142" s="7"/>
      <c r="AH142" s="7"/>
      <c r="AI142" s="7"/>
    </row>
    <row r="143" customFormat="false" ht="15.75" hidden="false" customHeight="true" outlineLevel="0" collapsed="false">
      <c r="A143" s="7"/>
      <c r="B143" s="7"/>
      <c r="C143" s="7"/>
      <c r="D143" s="7"/>
      <c r="E143" s="7" t="s">
        <v>2847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 t="s">
        <v>2848</v>
      </c>
      <c r="R143" s="7"/>
      <c r="S143" s="7"/>
      <c r="T143" s="7"/>
      <c r="U143" s="7"/>
      <c r="V143" s="7" t="s">
        <v>2849</v>
      </c>
      <c r="W143" s="7"/>
      <c r="X143" s="7"/>
      <c r="Y143" s="7"/>
      <c r="Z143" s="7"/>
      <c r="AA143" s="7"/>
      <c r="AB143" s="7"/>
      <c r="AC143" s="7"/>
      <c r="AD143" s="7"/>
      <c r="AE143" s="7"/>
      <c r="AF143" s="7" t="s">
        <v>2850</v>
      </c>
      <c r="AG143" s="7"/>
      <c r="AH143" s="7"/>
      <c r="AI143" s="7"/>
    </row>
    <row r="144" customFormat="false" ht="15.75" hidden="false" customHeight="true" outlineLevel="0" collapsed="false">
      <c r="A144" s="7"/>
      <c r="B144" s="7"/>
      <c r="C144" s="7"/>
      <c r="D144" s="7"/>
      <c r="E144" s="7" t="s">
        <v>2851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 t="s">
        <v>2852</v>
      </c>
      <c r="R144" s="7"/>
      <c r="S144" s="7"/>
      <c r="T144" s="7"/>
      <c r="U144" s="7"/>
      <c r="V144" s="7" t="s">
        <v>2853</v>
      </c>
      <c r="W144" s="7"/>
      <c r="X144" s="7"/>
      <c r="Y144" s="7"/>
      <c r="Z144" s="7"/>
      <c r="AA144" s="7"/>
      <c r="AB144" s="7"/>
      <c r="AC144" s="7"/>
      <c r="AD144" s="7"/>
      <c r="AE144" s="7"/>
      <c r="AF144" s="7" t="s">
        <v>2854</v>
      </c>
      <c r="AG144" s="7"/>
      <c r="AH144" s="7"/>
      <c r="AI144" s="7"/>
    </row>
    <row r="145" customFormat="false" ht="15.75" hidden="false" customHeight="true" outlineLevel="0" collapsed="false">
      <c r="A145" s="7"/>
      <c r="B145" s="7"/>
      <c r="C145" s="7"/>
      <c r="D145" s="7"/>
      <c r="E145" s="7" t="s">
        <v>2855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 t="s">
        <v>2856</v>
      </c>
      <c r="R145" s="7"/>
      <c r="S145" s="7"/>
      <c r="T145" s="7"/>
      <c r="U145" s="7"/>
      <c r="V145" s="7" t="s">
        <v>2857</v>
      </c>
      <c r="W145" s="7"/>
      <c r="X145" s="7"/>
      <c r="Y145" s="7"/>
      <c r="Z145" s="7"/>
      <c r="AA145" s="7"/>
      <c r="AB145" s="7"/>
      <c r="AC145" s="7"/>
      <c r="AD145" s="7"/>
      <c r="AE145" s="7"/>
      <c r="AF145" s="7" t="s">
        <v>2858</v>
      </c>
      <c r="AG145" s="7"/>
      <c r="AH145" s="7"/>
      <c r="AI145" s="7"/>
    </row>
    <row r="146" customFormat="false" ht="15.75" hidden="false" customHeight="true" outlineLevel="0" collapsed="false">
      <c r="A146" s="7"/>
      <c r="B146" s="7"/>
      <c r="C146" s="7"/>
      <c r="D146" s="7"/>
      <c r="E146" s="7" t="s">
        <v>2859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 t="s">
        <v>2860</v>
      </c>
      <c r="R146" s="7"/>
      <c r="S146" s="7"/>
      <c r="T146" s="7"/>
      <c r="U146" s="7"/>
      <c r="V146" s="7" t="s">
        <v>2861</v>
      </c>
      <c r="W146" s="7"/>
      <c r="X146" s="7"/>
      <c r="Y146" s="7"/>
      <c r="Z146" s="7"/>
      <c r="AA146" s="7"/>
      <c r="AB146" s="7"/>
      <c r="AC146" s="7"/>
      <c r="AD146" s="7"/>
      <c r="AE146" s="7"/>
      <c r="AF146" s="7" t="s">
        <v>2862</v>
      </c>
      <c r="AG146" s="7"/>
      <c r="AH146" s="7"/>
      <c r="AI146" s="7"/>
    </row>
    <row r="147" customFormat="false" ht="15.75" hidden="false" customHeight="true" outlineLevel="0" collapsed="false">
      <c r="A147" s="7"/>
      <c r="B147" s="7"/>
      <c r="C147" s="7"/>
      <c r="D147" s="7"/>
      <c r="E147" s="7" t="s">
        <v>2863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 t="s">
        <v>2864</v>
      </c>
      <c r="R147" s="7"/>
      <c r="S147" s="7"/>
      <c r="T147" s="7"/>
      <c r="U147" s="7"/>
      <c r="V147" s="7" t="s">
        <v>2865</v>
      </c>
      <c r="W147" s="7"/>
      <c r="X147" s="7"/>
      <c r="Y147" s="7"/>
      <c r="Z147" s="7"/>
      <c r="AA147" s="7"/>
      <c r="AB147" s="7"/>
      <c r="AC147" s="7"/>
      <c r="AD147" s="7"/>
      <c r="AE147" s="7"/>
      <c r="AF147" s="7" t="s">
        <v>2866</v>
      </c>
      <c r="AG147" s="7"/>
      <c r="AH147" s="7"/>
      <c r="AI147" s="7"/>
    </row>
    <row r="148" customFormat="false" ht="15.75" hidden="false" customHeight="true" outlineLevel="0" collapsed="false">
      <c r="A148" s="7"/>
      <c r="B148" s="7"/>
      <c r="C148" s="7"/>
      <c r="D148" s="7"/>
      <c r="E148" s="7" t="s">
        <v>2867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 t="s">
        <v>2868</v>
      </c>
      <c r="R148" s="7"/>
      <c r="S148" s="7"/>
      <c r="T148" s="7"/>
      <c r="U148" s="7"/>
      <c r="V148" s="7" t="s">
        <v>2869</v>
      </c>
      <c r="W148" s="7"/>
      <c r="X148" s="7"/>
      <c r="Y148" s="7"/>
      <c r="Z148" s="7"/>
      <c r="AA148" s="7"/>
      <c r="AB148" s="7"/>
      <c r="AC148" s="7"/>
      <c r="AD148" s="7"/>
      <c r="AE148" s="7"/>
      <c r="AF148" s="7" t="s">
        <v>2870</v>
      </c>
      <c r="AG148" s="7"/>
      <c r="AH148" s="7"/>
      <c r="AI148" s="7"/>
    </row>
    <row r="149" customFormat="false" ht="15.75" hidden="false" customHeight="true" outlineLevel="0" collapsed="false">
      <c r="A149" s="7"/>
      <c r="B149" s="7"/>
      <c r="C149" s="7"/>
      <c r="D149" s="7"/>
      <c r="E149" s="7" t="s">
        <v>2871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 t="s">
        <v>2872</v>
      </c>
      <c r="R149" s="7"/>
      <c r="S149" s="7"/>
      <c r="T149" s="7"/>
      <c r="U149" s="7"/>
      <c r="V149" s="7" t="s">
        <v>2873</v>
      </c>
      <c r="W149" s="7"/>
      <c r="X149" s="7"/>
      <c r="Y149" s="7"/>
      <c r="Z149" s="7"/>
      <c r="AA149" s="7"/>
      <c r="AB149" s="7"/>
      <c r="AC149" s="7"/>
      <c r="AD149" s="7"/>
      <c r="AE149" s="7"/>
      <c r="AF149" s="7" t="s">
        <v>2874</v>
      </c>
      <c r="AG149" s="7"/>
      <c r="AH149" s="7"/>
      <c r="AI149" s="7"/>
    </row>
    <row r="150" customFormat="false" ht="15.75" hidden="false" customHeight="true" outlineLevel="0" collapsed="false">
      <c r="A150" s="7"/>
      <c r="B150" s="7"/>
      <c r="C150" s="7"/>
      <c r="D150" s="7"/>
      <c r="E150" s="7" t="s">
        <v>2875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 t="s">
        <v>2876</v>
      </c>
      <c r="R150" s="7"/>
      <c r="S150" s="7"/>
      <c r="T150" s="7"/>
      <c r="U150" s="7"/>
      <c r="V150" s="7" t="s">
        <v>2877</v>
      </c>
      <c r="W150" s="7"/>
      <c r="X150" s="7"/>
      <c r="Y150" s="7"/>
      <c r="Z150" s="7"/>
      <c r="AA150" s="7"/>
      <c r="AB150" s="7"/>
      <c r="AC150" s="7"/>
      <c r="AD150" s="7"/>
      <c r="AE150" s="7"/>
      <c r="AF150" s="7" t="s">
        <v>2878</v>
      </c>
      <c r="AG150" s="7"/>
      <c r="AH150" s="7"/>
      <c r="AI150" s="7"/>
    </row>
    <row r="151" customFormat="false" ht="15.75" hidden="false" customHeight="true" outlineLevel="0" collapsed="false">
      <c r="A151" s="7"/>
      <c r="B151" s="7"/>
      <c r="C151" s="7"/>
      <c r="D151" s="7"/>
      <c r="E151" s="7" t="s">
        <v>2879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 t="s">
        <v>2880</v>
      </c>
      <c r="R151" s="7"/>
      <c r="S151" s="7"/>
      <c r="T151" s="7"/>
      <c r="U151" s="7"/>
      <c r="V151" s="7" t="s">
        <v>2881</v>
      </c>
      <c r="W151" s="7"/>
      <c r="X151" s="7"/>
      <c r="Y151" s="7"/>
      <c r="Z151" s="7"/>
      <c r="AA151" s="7"/>
      <c r="AB151" s="7"/>
      <c r="AC151" s="7"/>
      <c r="AD151" s="7"/>
      <c r="AE151" s="7"/>
      <c r="AF151" s="7" t="s">
        <v>2882</v>
      </c>
      <c r="AG151" s="7"/>
      <c r="AH151" s="7"/>
      <c r="AI151" s="7"/>
    </row>
    <row r="152" customFormat="false" ht="15.75" hidden="false" customHeight="true" outlineLevel="0" collapsed="false">
      <c r="A152" s="7"/>
      <c r="B152" s="7"/>
      <c r="C152" s="7"/>
      <c r="D152" s="7"/>
      <c r="E152" s="7" t="s">
        <v>2883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 t="s">
        <v>2884</v>
      </c>
      <c r="R152" s="7"/>
      <c r="S152" s="7"/>
      <c r="T152" s="7"/>
      <c r="U152" s="7"/>
      <c r="V152" s="7" t="s">
        <v>2885</v>
      </c>
      <c r="W152" s="7"/>
      <c r="X152" s="7"/>
      <c r="Y152" s="7"/>
      <c r="Z152" s="7"/>
      <c r="AA152" s="7"/>
      <c r="AB152" s="7"/>
      <c r="AC152" s="7"/>
      <c r="AD152" s="7"/>
      <c r="AE152" s="7"/>
      <c r="AF152" s="7" t="s">
        <v>2886</v>
      </c>
      <c r="AG152" s="7"/>
      <c r="AH152" s="7"/>
      <c r="AI152" s="7"/>
    </row>
    <row r="153" customFormat="false" ht="15.75" hidden="false" customHeight="true" outlineLevel="0" collapsed="false">
      <c r="A153" s="7"/>
      <c r="B153" s="7"/>
      <c r="C153" s="7"/>
      <c r="D153" s="7"/>
      <c r="E153" s="7" t="s">
        <v>2887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 t="s">
        <v>2888</v>
      </c>
      <c r="R153" s="7"/>
      <c r="S153" s="7"/>
      <c r="T153" s="7"/>
      <c r="U153" s="7"/>
      <c r="V153" s="7" t="s">
        <v>2889</v>
      </c>
      <c r="W153" s="7"/>
      <c r="X153" s="7"/>
      <c r="Y153" s="7"/>
      <c r="Z153" s="7"/>
      <c r="AA153" s="7"/>
      <c r="AB153" s="7"/>
      <c r="AC153" s="7"/>
      <c r="AD153" s="7"/>
      <c r="AE153" s="7"/>
      <c r="AF153" s="7" t="s">
        <v>2890</v>
      </c>
      <c r="AG153" s="7"/>
      <c r="AH153" s="7"/>
      <c r="AI153" s="7"/>
    </row>
    <row r="154" customFormat="false" ht="15.75" hidden="false" customHeight="true" outlineLevel="0" collapsed="false">
      <c r="A154" s="7"/>
      <c r="B154" s="7"/>
      <c r="C154" s="7"/>
      <c r="D154" s="7"/>
      <c r="E154" s="7" t="s">
        <v>2891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 t="s">
        <v>2892</v>
      </c>
      <c r="R154" s="7"/>
      <c r="S154" s="7"/>
      <c r="T154" s="7"/>
      <c r="U154" s="7"/>
      <c r="V154" s="7" t="s">
        <v>2893</v>
      </c>
      <c r="W154" s="7"/>
      <c r="X154" s="7"/>
      <c r="Y154" s="7"/>
      <c r="Z154" s="7"/>
      <c r="AA154" s="7"/>
      <c r="AB154" s="7"/>
      <c r="AC154" s="7"/>
      <c r="AD154" s="7"/>
      <c r="AE154" s="7"/>
      <c r="AF154" s="7" t="s">
        <v>2894</v>
      </c>
      <c r="AG154" s="7"/>
      <c r="AH154" s="7"/>
      <c r="AI154" s="7"/>
    </row>
    <row r="155" customFormat="false" ht="15.75" hidden="false" customHeight="true" outlineLevel="0" collapsed="false">
      <c r="A155" s="7"/>
      <c r="B155" s="7"/>
      <c r="C155" s="7"/>
      <c r="D155" s="7"/>
      <c r="E155" s="7" t="s">
        <v>2895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 t="s">
        <v>2896</v>
      </c>
      <c r="R155" s="7"/>
      <c r="S155" s="7"/>
      <c r="T155" s="7"/>
      <c r="U155" s="7"/>
      <c r="V155" s="7" t="s">
        <v>2897</v>
      </c>
      <c r="W155" s="7"/>
      <c r="X155" s="7"/>
      <c r="Y155" s="7"/>
      <c r="Z155" s="7"/>
      <c r="AA155" s="7"/>
      <c r="AB155" s="7"/>
      <c r="AC155" s="7"/>
      <c r="AD155" s="7"/>
      <c r="AE155" s="7"/>
      <c r="AF155" s="7" t="s">
        <v>2898</v>
      </c>
      <c r="AG155" s="7"/>
      <c r="AH155" s="7"/>
      <c r="AI155" s="7"/>
    </row>
    <row r="156" customFormat="false" ht="15.75" hidden="false" customHeight="true" outlineLevel="0" collapsed="false">
      <c r="A156" s="7"/>
      <c r="B156" s="7"/>
      <c r="C156" s="7"/>
      <c r="D156" s="7"/>
      <c r="E156" s="7" t="s">
        <v>2899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 t="s">
        <v>2900</v>
      </c>
      <c r="R156" s="7"/>
      <c r="S156" s="7"/>
      <c r="T156" s="7"/>
      <c r="U156" s="7"/>
      <c r="V156" s="7" t="s">
        <v>2901</v>
      </c>
      <c r="W156" s="7"/>
      <c r="X156" s="7"/>
      <c r="Y156" s="7"/>
      <c r="Z156" s="7"/>
      <c r="AA156" s="7"/>
      <c r="AB156" s="7"/>
      <c r="AC156" s="7"/>
      <c r="AD156" s="7"/>
      <c r="AE156" s="7"/>
      <c r="AF156" s="7" t="s">
        <v>2902</v>
      </c>
      <c r="AG156" s="7"/>
      <c r="AH156" s="7"/>
      <c r="AI156" s="7"/>
    </row>
    <row r="157" customFormat="false" ht="15.75" hidden="false" customHeight="true" outlineLevel="0" collapsed="false">
      <c r="A157" s="7"/>
      <c r="B157" s="7"/>
      <c r="C157" s="7"/>
      <c r="D157" s="7"/>
      <c r="E157" s="7" t="s">
        <v>2903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 t="s">
        <v>2904</v>
      </c>
      <c r="R157" s="7"/>
      <c r="S157" s="7"/>
      <c r="T157" s="7"/>
      <c r="U157" s="7"/>
      <c r="V157" s="7" t="s">
        <v>2905</v>
      </c>
      <c r="W157" s="7"/>
      <c r="X157" s="7"/>
      <c r="Y157" s="7"/>
      <c r="Z157" s="7"/>
      <c r="AA157" s="7"/>
      <c r="AB157" s="7"/>
      <c r="AC157" s="7"/>
      <c r="AD157" s="7"/>
      <c r="AE157" s="7"/>
      <c r="AF157" s="7" t="s">
        <v>2906</v>
      </c>
      <c r="AG157" s="7"/>
      <c r="AH157" s="7"/>
      <c r="AI157" s="7"/>
    </row>
    <row r="158" customFormat="false" ht="15.75" hidden="false" customHeight="true" outlineLevel="0" collapsed="false">
      <c r="A158" s="7"/>
      <c r="B158" s="7"/>
      <c r="C158" s="7"/>
      <c r="D158" s="7"/>
      <c r="E158" s="7" t="s">
        <v>2907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 t="s">
        <v>2908</v>
      </c>
      <c r="R158" s="7"/>
      <c r="S158" s="7"/>
      <c r="T158" s="7"/>
      <c r="U158" s="7"/>
      <c r="V158" s="7" t="s">
        <v>2909</v>
      </c>
      <c r="W158" s="7"/>
      <c r="X158" s="7"/>
      <c r="Y158" s="7"/>
      <c r="Z158" s="7"/>
      <c r="AA158" s="7"/>
      <c r="AB158" s="7"/>
      <c r="AC158" s="7"/>
      <c r="AD158" s="7"/>
      <c r="AE158" s="7"/>
      <c r="AF158" s="7" t="s">
        <v>2910</v>
      </c>
      <c r="AG158" s="7"/>
      <c r="AH158" s="7"/>
      <c r="AI158" s="7"/>
    </row>
    <row r="159" customFormat="false" ht="15.75" hidden="false" customHeight="true" outlineLevel="0" collapsed="false">
      <c r="A159" s="7"/>
      <c r="B159" s="7"/>
      <c r="C159" s="7"/>
      <c r="D159" s="7"/>
      <c r="E159" s="7" t="s">
        <v>2911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 t="s">
        <v>2912</v>
      </c>
      <c r="R159" s="7"/>
      <c r="S159" s="7"/>
      <c r="T159" s="7"/>
      <c r="U159" s="7"/>
      <c r="V159" s="7" t="s">
        <v>2913</v>
      </c>
      <c r="W159" s="7"/>
      <c r="X159" s="7"/>
      <c r="Y159" s="7"/>
      <c r="Z159" s="7"/>
      <c r="AA159" s="7"/>
      <c r="AB159" s="7"/>
      <c r="AC159" s="7"/>
      <c r="AD159" s="7"/>
      <c r="AE159" s="7"/>
      <c r="AF159" s="7" t="s">
        <v>2914</v>
      </c>
      <c r="AG159" s="7"/>
      <c r="AH159" s="7"/>
      <c r="AI159" s="7"/>
    </row>
    <row r="160" customFormat="false" ht="15.75" hidden="false" customHeight="true" outlineLevel="0" collapsed="false">
      <c r="A160" s="7"/>
      <c r="B160" s="7"/>
      <c r="C160" s="7"/>
      <c r="D160" s="7"/>
      <c r="E160" s="7" t="s">
        <v>2915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 t="s">
        <v>2916</v>
      </c>
      <c r="R160" s="7"/>
      <c r="S160" s="7"/>
      <c r="T160" s="7"/>
      <c r="U160" s="7"/>
      <c r="V160" s="7" t="s">
        <v>2917</v>
      </c>
      <c r="W160" s="7"/>
      <c r="X160" s="7"/>
      <c r="Y160" s="7"/>
      <c r="Z160" s="7"/>
      <c r="AA160" s="7"/>
      <c r="AB160" s="7"/>
      <c r="AC160" s="7"/>
      <c r="AD160" s="7"/>
      <c r="AE160" s="7"/>
      <c r="AF160" s="7" t="s">
        <v>2918</v>
      </c>
      <c r="AG160" s="7"/>
      <c r="AH160" s="7"/>
      <c r="AI160" s="7"/>
    </row>
    <row r="161" customFormat="false" ht="15.75" hidden="false" customHeight="true" outlineLevel="0" collapsed="false">
      <c r="A161" s="7"/>
      <c r="B161" s="7"/>
      <c r="C161" s="7"/>
      <c r="D161" s="7"/>
      <c r="E161" s="7" t="s">
        <v>2919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 t="s">
        <v>2920</v>
      </c>
      <c r="R161" s="7"/>
      <c r="S161" s="7"/>
      <c r="T161" s="7"/>
      <c r="U161" s="7"/>
      <c r="V161" s="7" t="s">
        <v>2921</v>
      </c>
      <c r="W161" s="7"/>
      <c r="X161" s="7"/>
      <c r="Y161" s="7"/>
      <c r="Z161" s="7"/>
      <c r="AA161" s="7"/>
      <c r="AB161" s="7"/>
      <c r="AC161" s="7"/>
      <c r="AD161" s="7"/>
      <c r="AE161" s="7"/>
      <c r="AF161" s="7" t="s">
        <v>2922</v>
      </c>
      <c r="AG161" s="7"/>
      <c r="AH161" s="7"/>
      <c r="AI161" s="7"/>
    </row>
    <row r="162" customFormat="false" ht="15.75" hidden="false" customHeight="true" outlineLevel="0" collapsed="false">
      <c r="A162" s="7"/>
      <c r="B162" s="7"/>
      <c r="C162" s="7"/>
      <c r="D162" s="7"/>
      <c r="E162" s="7" t="s">
        <v>2923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 t="s">
        <v>2924</v>
      </c>
      <c r="R162" s="7"/>
      <c r="S162" s="7"/>
      <c r="T162" s="7"/>
      <c r="U162" s="7"/>
      <c r="V162" s="7" t="s">
        <v>2925</v>
      </c>
      <c r="W162" s="7"/>
      <c r="X162" s="7"/>
      <c r="Y162" s="7"/>
      <c r="Z162" s="7"/>
      <c r="AA162" s="7"/>
      <c r="AB162" s="7"/>
      <c r="AC162" s="7"/>
      <c r="AD162" s="7"/>
      <c r="AE162" s="7"/>
      <c r="AF162" s="7" t="s">
        <v>2926</v>
      </c>
      <c r="AG162" s="7"/>
      <c r="AH162" s="7"/>
      <c r="AI162" s="7"/>
    </row>
    <row r="163" customFormat="false" ht="15.75" hidden="false" customHeight="true" outlineLevel="0" collapsed="false">
      <c r="A163" s="7"/>
      <c r="B163" s="7"/>
      <c r="C163" s="7"/>
      <c r="D163" s="7"/>
      <c r="E163" s="7" t="s">
        <v>2927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 t="s">
        <v>2928</v>
      </c>
      <c r="R163" s="7"/>
      <c r="S163" s="7"/>
      <c r="T163" s="7"/>
      <c r="U163" s="7"/>
      <c r="V163" s="7" t="s">
        <v>2929</v>
      </c>
      <c r="W163" s="7"/>
      <c r="X163" s="7"/>
      <c r="Y163" s="7"/>
      <c r="Z163" s="7"/>
      <c r="AA163" s="7"/>
      <c r="AB163" s="7"/>
      <c r="AC163" s="7"/>
      <c r="AD163" s="7"/>
      <c r="AE163" s="7"/>
      <c r="AF163" s="7" t="s">
        <v>2930</v>
      </c>
      <c r="AG163" s="7"/>
      <c r="AH163" s="7"/>
      <c r="AI163" s="7"/>
    </row>
    <row r="164" customFormat="false" ht="15.75" hidden="false" customHeight="true" outlineLevel="0" collapsed="false">
      <c r="A164" s="7"/>
      <c r="B164" s="7"/>
      <c r="C164" s="7"/>
      <c r="D164" s="7"/>
      <c r="E164" s="7" t="s">
        <v>2931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 t="s">
        <v>2932</v>
      </c>
      <c r="R164" s="7"/>
      <c r="S164" s="7"/>
      <c r="T164" s="7"/>
      <c r="U164" s="7"/>
      <c r="V164" s="7" t="s">
        <v>2933</v>
      </c>
      <c r="W164" s="7"/>
      <c r="X164" s="7"/>
      <c r="Y164" s="7"/>
      <c r="Z164" s="7"/>
      <c r="AA164" s="7"/>
      <c r="AB164" s="7"/>
      <c r="AC164" s="7"/>
      <c r="AD164" s="7"/>
      <c r="AE164" s="7"/>
      <c r="AF164" s="7" t="s">
        <v>2934</v>
      </c>
      <c r="AG164" s="7"/>
      <c r="AH164" s="7"/>
      <c r="AI164" s="7"/>
    </row>
    <row r="165" customFormat="false" ht="15.75" hidden="false" customHeight="true" outlineLevel="0" collapsed="false">
      <c r="A165" s="7"/>
      <c r="B165" s="7"/>
      <c r="C165" s="7"/>
      <c r="D165" s="7"/>
      <c r="E165" s="7" t="s">
        <v>2935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 t="s">
        <v>2936</v>
      </c>
      <c r="R165" s="7"/>
      <c r="S165" s="7"/>
      <c r="T165" s="7"/>
      <c r="U165" s="7"/>
      <c r="V165" s="7" t="s">
        <v>2937</v>
      </c>
      <c r="W165" s="7"/>
      <c r="X165" s="7"/>
      <c r="Y165" s="7"/>
      <c r="Z165" s="7"/>
      <c r="AA165" s="7"/>
      <c r="AB165" s="7"/>
      <c r="AC165" s="7"/>
      <c r="AD165" s="7"/>
      <c r="AE165" s="7"/>
      <c r="AF165" s="7" t="s">
        <v>2938</v>
      </c>
      <c r="AG165" s="7"/>
      <c r="AH165" s="7"/>
      <c r="AI165" s="7"/>
    </row>
    <row r="166" customFormat="false" ht="15.75" hidden="false" customHeight="true" outlineLevel="0" collapsed="false">
      <c r="A166" s="7"/>
      <c r="B166" s="7"/>
      <c r="C166" s="7"/>
      <c r="D166" s="7"/>
      <c r="E166" s="7" t="s">
        <v>2939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 t="s">
        <v>2940</v>
      </c>
      <c r="R166" s="7"/>
      <c r="S166" s="7"/>
      <c r="T166" s="7"/>
      <c r="U166" s="7"/>
      <c r="V166" s="7" t="s">
        <v>2941</v>
      </c>
      <c r="W166" s="7"/>
      <c r="X166" s="7"/>
      <c r="Y166" s="7"/>
      <c r="Z166" s="7"/>
      <c r="AA166" s="7"/>
      <c r="AB166" s="7"/>
      <c r="AC166" s="7"/>
      <c r="AD166" s="7"/>
      <c r="AE166" s="7"/>
      <c r="AF166" s="7" t="s">
        <v>2942</v>
      </c>
      <c r="AG166" s="7"/>
      <c r="AH166" s="7"/>
      <c r="AI166" s="7"/>
    </row>
    <row r="167" customFormat="false" ht="15.75" hidden="false" customHeight="true" outlineLevel="0" collapsed="false">
      <c r="A167" s="7"/>
      <c r="B167" s="7"/>
      <c r="C167" s="7"/>
      <c r="D167" s="7"/>
      <c r="E167" s="7" t="s">
        <v>2943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 t="s">
        <v>2944</v>
      </c>
      <c r="R167" s="7"/>
      <c r="S167" s="7"/>
      <c r="T167" s="7"/>
      <c r="U167" s="7"/>
      <c r="V167" s="7" t="s">
        <v>2945</v>
      </c>
      <c r="W167" s="7"/>
      <c r="X167" s="7"/>
      <c r="Y167" s="7"/>
      <c r="Z167" s="7"/>
      <c r="AA167" s="7"/>
      <c r="AB167" s="7"/>
      <c r="AC167" s="7"/>
      <c r="AD167" s="7"/>
      <c r="AE167" s="7"/>
      <c r="AF167" s="7" t="s">
        <v>2946</v>
      </c>
      <c r="AG167" s="7"/>
      <c r="AH167" s="7"/>
      <c r="AI167" s="7"/>
    </row>
    <row r="168" customFormat="false" ht="15.75" hidden="false" customHeight="true" outlineLevel="0" collapsed="false">
      <c r="A168" s="7"/>
      <c r="B168" s="7"/>
      <c r="C168" s="7"/>
      <c r="D168" s="7"/>
      <c r="E168" s="7" t="s">
        <v>2947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 t="s">
        <v>2948</v>
      </c>
      <c r="R168" s="7"/>
      <c r="S168" s="7"/>
      <c r="T168" s="7"/>
      <c r="U168" s="7"/>
      <c r="V168" s="7" t="s">
        <v>2949</v>
      </c>
      <c r="W168" s="7"/>
      <c r="X168" s="7"/>
      <c r="Y168" s="7"/>
      <c r="Z168" s="7"/>
      <c r="AA168" s="7"/>
      <c r="AB168" s="7"/>
      <c r="AC168" s="7"/>
      <c r="AD168" s="7"/>
      <c r="AE168" s="7"/>
      <c r="AF168" s="7" t="s">
        <v>2950</v>
      </c>
      <c r="AG168" s="7"/>
      <c r="AH168" s="7"/>
      <c r="AI168" s="7"/>
    </row>
    <row r="169" customFormat="false" ht="15.75" hidden="false" customHeight="true" outlineLevel="0" collapsed="false">
      <c r="A169" s="7"/>
      <c r="B169" s="7"/>
      <c r="C169" s="7"/>
      <c r="D169" s="7"/>
      <c r="E169" s="7" t="s">
        <v>2951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 t="s">
        <v>2952</v>
      </c>
      <c r="R169" s="7"/>
      <c r="S169" s="7"/>
      <c r="T169" s="7"/>
      <c r="U169" s="7"/>
      <c r="V169" s="7" t="s">
        <v>2953</v>
      </c>
      <c r="W169" s="7"/>
      <c r="X169" s="7"/>
      <c r="Y169" s="7"/>
      <c r="Z169" s="7"/>
      <c r="AA169" s="7"/>
      <c r="AB169" s="7"/>
      <c r="AC169" s="7"/>
      <c r="AD169" s="7"/>
      <c r="AE169" s="7"/>
      <c r="AF169" s="7" t="s">
        <v>2954</v>
      </c>
      <c r="AG169" s="7"/>
      <c r="AH169" s="7"/>
      <c r="AI169" s="7"/>
    </row>
    <row r="170" customFormat="false" ht="15.75" hidden="false" customHeight="true" outlineLevel="0" collapsed="false">
      <c r="A170" s="7"/>
      <c r="B170" s="7"/>
      <c r="C170" s="7"/>
      <c r="D170" s="7"/>
      <c r="E170" s="7" t="s">
        <v>2955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 t="s">
        <v>2956</v>
      </c>
      <c r="R170" s="7"/>
      <c r="S170" s="7"/>
      <c r="T170" s="7"/>
      <c r="U170" s="7"/>
      <c r="V170" s="7" t="s">
        <v>2957</v>
      </c>
      <c r="W170" s="7"/>
      <c r="X170" s="7"/>
      <c r="Y170" s="7"/>
      <c r="Z170" s="7"/>
      <c r="AA170" s="7"/>
      <c r="AB170" s="7"/>
      <c r="AC170" s="7"/>
      <c r="AD170" s="7"/>
      <c r="AE170" s="7"/>
      <c r="AF170" s="7" t="s">
        <v>2958</v>
      </c>
      <c r="AG170" s="7"/>
      <c r="AH170" s="7"/>
      <c r="AI170" s="7"/>
    </row>
    <row r="171" customFormat="false" ht="15.75" hidden="false" customHeight="true" outlineLevel="0" collapsed="false">
      <c r="A171" s="7"/>
      <c r="B171" s="7"/>
      <c r="C171" s="7"/>
      <c r="D171" s="7"/>
      <c r="E171" s="7" t="s">
        <v>2959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 t="s">
        <v>2960</v>
      </c>
      <c r="R171" s="7"/>
      <c r="S171" s="7"/>
      <c r="T171" s="7"/>
      <c r="U171" s="7"/>
      <c r="V171" s="7" t="s">
        <v>2961</v>
      </c>
      <c r="W171" s="7"/>
      <c r="X171" s="7"/>
      <c r="Y171" s="7"/>
      <c r="Z171" s="7"/>
      <c r="AA171" s="7"/>
      <c r="AB171" s="7"/>
      <c r="AC171" s="7"/>
      <c r="AD171" s="7"/>
      <c r="AE171" s="7"/>
      <c r="AF171" s="7" t="s">
        <v>2962</v>
      </c>
      <c r="AG171" s="7"/>
      <c r="AH171" s="7"/>
      <c r="AI171" s="7"/>
    </row>
    <row r="172" customFormat="false" ht="15.75" hidden="false" customHeight="true" outlineLevel="0" collapsed="false">
      <c r="A172" s="7"/>
      <c r="B172" s="7"/>
      <c r="C172" s="7"/>
      <c r="D172" s="7"/>
      <c r="E172" s="7" t="s">
        <v>2963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 t="s">
        <v>2964</v>
      </c>
      <c r="R172" s="7"/>
      <c r="S172" s="7"/>
      <c r="T172" s="7"/>
      <c r="U172" s="7"/>
      <c r="V172" s="7" t="s">
        <v>2965</v>
      </c>
      <c r="W172" s="7"/>
      <c r="X172" s="7"/>
      <c r="Y172" s="7"/>
      <c r="Z172" s="7"/>
      <c r="AA172" s="7"/>
      <c r="AB172" s="7"/>
      <c r="AC172" s="7"/>
      <c r="AD172" s="7"/>
      <c r="AE172" s="7"/>
      <c r="AF172" s="7" t="s">
        <v>2966</v>
      </c>
      <c r="AG172" s="7"/>
      <c r="AH172" s="7"/>
      <c r="AI172" s="7"/>
    </row>
    <row r="173" customFormat="false" ht="15.75" hidden="false" customHeight="true" outlineLevel="0" collapsed="false">
      <c r="A173" s="7"/>
      <c r="B173" s="7"/>
      <c r="C173" s="7"/>
      <c r="D173" s="7"/>
      <c r="E173" s="7" t="s">
        <v>2967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 t="s">
        <v>2968</v>
      </c>
      <c r="R173" s="7"/>
      <c r="S173" s="7"/>
      <c r="T173" s="7"/>
      <c r="U173" s="7"/>
      <c r="V173" s="7" t="s">
        <v>2969</v>
      </c>
      <c r="W173" s="7"/>
      <c r="X173" s="7"/>
      <c r="Y173" s="7"/>
      <c r="Z173" s="7"/>
      <c r="AA173" s="7"/>
      <c r="AB173" s="7"/>
      <c r="AC173" s="7"/>
      <c r="AD173" s="7"/>
      <c r="AE173" s="7"/>
      <c r="AF173" s="7" t="s">
        <v>2970</v>
      </c>
      <c r="AG173" s="7"/>
      <c r="AH173" s="7"/>
      <c r="AI173" s="7"/>
    </row>
    <row r="174" customFormat="false" ht="15.75" hidden="false" customHeight="true" outlineLevel="0" collapsed="false">
      <c r="A174" s="7"/>
      <c r="B174" s="7"/>
      <c r="C174" s="7"/>
      <c r="D174" s="7"/>
      <c r="E174" s="7" t="s">
        <v>2971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 t="s">
        <v>2972</v>
      </c>
      <c r="R174" s="7"/>
      <c r="S174" s="7"/>
      <c r="T174" s="7"/>
      <c r="U174" s="7"/>
      <c r="V174" s="7" t="s">
        <v>2973</v>
      </c>
      <c r="W174" s="7"/>
      <c r="X174" s="7"/>
      <c r="Y174" s="7"/>
      <c r="Z174" s="7"/>
      <c r="AA174" s="7"/>
      <c r="AB174" s="7"/>
      <c r="AC174" s="7"/>
      <c r="AD174" s="7"/>
      <c r="AE174" s="7"/>
      <c r="AF174" s="7" t="s">
        <v>2974</v>
      </c>
      <c r="AG174" s="7"/>
      <c r="AH174" s="7"/>
      <c r="AI174" s="7"/>
    </row>
    <row r="175" customFormat="false" ht="15.75" hidden="false" customHeight="true" outlineLevel="0" collapsed="false">
      <c r="A175" s="7"/>
      <c r="B175" s="7"/>
      <c r="C175" s="7"/>
      <c r="D175" s="7"/>
      <c r="E175" s="7" t="s">
        <v>2975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 t="s">
        <v>2976</v>
      </c>
      <c r="R175" s="7"/>
      <c r="S175" s="7"/>
      <c r="T175" s="7"/>
      <c r="U175" s="7"/>
      <c r="V175" s="7" t="s">
        <v>2977</v>
      </c>
      <c r="W175" s="7"/>
      <c r="X175" s="7"/>
      <c r="Y175" s="7"/>
      <c r="Z175" s="7"/>
      <c r="AA175" s="7"/>
      <c r="AB175" s="7"/>
      <c r="AC175" s="7"/>
      <c r="AD175" s="7"/>
      <c r="AE175" s="7"/>
      <c r="AF175" s="7" t="s">
        <v>2978</v>
      </c>
      <c r="AG175" s="7"/>
      <c r="AH175" s="7"/>
      <c r="AI175" s="7"/>
    </row>
    <row r="176" customFormat="false" ht="15.75" hidden="false" customHeight="true" outlineLevel="0" collapsed="false">
      <c r="A176" s="7"/>
      <c r="B176" s="7"/>
      <c r="C176" s="7"/>
      <c r="D176" s="7"/>
      <c r="E176" s="7" t="s">
        <v>2979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 t="s">
        <v>2980</v>
      </c>
      <c r="R176" s="7"/>
      <c r="S176" s="7"/>
      <c r="T176" s="7"/>
      <c r="U176" s="7"/>
      <c r="V176" s="7" t="s">
        <v>2981</v>
      </c>
      <c r="W176" s="7"/>
      <c r="X176" s="7"/>
      <c r="Y176" s="7"/>
      <c r="Z176" s="7"/>
      <c r="AA176" s="7"/>
      <c r="AB176" s="7"/>
      <c r="AC176" s="7"/>
      <c r="AD176" s="7"/>
      <c r="AE176" s="7"/>
      <c r="AF176" s="7" t="s">
        <v>2982</v>
      </c>
      <c r="AG176" s="7"/>
      <c r="AH176" s="7"/>
      <c r="AI176" s="7"/>
    </row>
    <row r="177" customFormat="false" ht="15.75" hidden="false" customHeight="true" outlineLevel="0" collapsed="false">
      <c r="A177" s="7"/>
      <c r="B177" s="7"/>
      <c r="C177" s="7"/>
      <c r="D177" s="7"/>
      <c r="E177" s="7" t="s">
        <v>2983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 t="s">
        <v>2984</v>
      </c>
      <c r="R177" s="7"/>
      <c r="S177" s="7"/>
      <c r="T177" s="7"/>
      <c r="U177" s="7"/>
      <c r="V177" s="7" t="s">
        <v>2985</v>
      </c>
      <c r="W177" s="7"/>
      <c r="X177" s="7"/>
      <c r="Y177" s="7"/>
      <c r="Z177" s="7"/>
      <c r="AA177" s="7"/>
      <c r="AB177" s="7"/>
      <c r="AC177" s="7"/>
      <c r="AD177" s="7"/>
      <c r="AE177" s="7"/>
      <c r="AF177" s="7" t="s">
        <v>2986</v>
      </c>
      <c r="AG177" s="7"/>
      <c r="AH177" s="7"/>
      <c r="AI177" s="7"/>
    </row>
    <row r="178" customFormat="false" ht="15.75" hidden="false" customHeight="true" outlineLevel="0" collapsed="false">
      <c r="A178" s="7"/>
      <c r="B178" s="7"/>
      <c r="C178" s="7"/>
      <c r="D178" s="7"/>
      <c r="E178" s="7" t="s">
        <v>2987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 t="s">
        <v>2988</v>
      </c>
      <c r="R178" s="7"/>
      <c r="S178" s="7"/>
      <c r="T178" s="7"/>
      <c r="U178" s="7"/>
      <c r="V178" s="7" t="s">
        <v>2989</v>
      </c>
      <c r="W178" s="7"/>
      <c r="X178" s="7"/>
      <c r="Y178" s="7"/>
      <c r="Z178" s="7"/>
      <c r="AA178" s="7"/>
      <c r="AB178" s="7"/>
      <c r="AC178" s="7"/>
      <c r="AD178" s="7"/>
      <c r="AE178" s="7"/>
      <c r="AF178" s="7" t="s">
        <v>2990</v>
      </c>
      <c r="AG178" s="7"/>
      <c r="AH178" s="7"/>
      <c r="AI178" s="7"/>
    </row>
    <row r="179" customFormat="false" ht="15.75" hidden="false" customHeight="true" outlineLevel="0" collapsed="false">
      <c r="A179" s="7"/>
      <c r="B179" s="7"/>
      <c r="C179" s="7"/>
      <c r="D179" s="7"/>
      <c r="E179" s="7" t="s">
        <v>2991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 t="s">
        <v>2992</v>
      </c>
      <c r="R179" s="7"/>
      <c r="S179" s="7"/>
      <c r="T179" s="7"/>
      <c r="U179" s="7"/>
      <c r="V179" s="7" t="s">
        <v>2993</v>
      </c>
      <c r="W179" s="7"/>
      <c r="X179" s="7"/>
      <c r="Y179" s="7"/>
      <c r="Z179" s="7"/>
      <c r="AA179" s="7"/>
      <c r="AB179" s="7"/>
      <c r="AC179" s="7"/>
      <c r="AD179" s="7"/>
      <c r="AE179" s="7"/>
      <c r="AF179" s="7" t="s">
        <v>2994</v>
      </c>
      <c r="AG179" s="7"/>
      <c r="AH179" s="7"/>
      <c r="AI179" s="7"/>
    </row>
    <row r="180" customFormat="false" ht="15.75" hidden="false" customHeight="true" outlineLevel="0" collapsed="false">
      <c r="A180" s="7"/>
      <c r="B180" s="7"/>
      <c r="C180" s="7"/>
      <c r="D180" s="7"/>
      <c r="E180" s="7" t="s">
        <v>2995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 t="s">
        <v>2996</v>
      </c>
      <c r="R180" s="7"/>
      <c r="S180" s="7"/>
      <c r="T180" s="7"/>
      <c r="U180" s="7"/>
      <c r="V180" s="7" t="s">
        <v>2997</v>
      </c>
      <c r="W180" s="7"/>
      <c r="X180" s="7"/>
      <c r="Y180" s="7"/>
      <c r="Z180" s="7"/>
      <c r="AA180" s="7"/>
      <c r="AB180" s="7"/>
      <c r="AC180" s="7"/>
      <c r="AD180" s="7"/>
      <c r="AE180" s="7"/>
      <c r="AF180" s="7" t="s">
        <v>2998</v>
      </c>
      <c r="AG180" s="7"/>
      <c r="AH180" s="7"/>
      <c r="AI180" s="7"/>
    </row>
    <row r="181" customFormat="false" ht="15.75" hidden="false" customHeight="true" outlineLevel="0" collapsed="false">
      <c r="A181" s="7"/>
      <c r="B181" s="7"/>
      <c r="C181" s="7"/>
      <c r="D181" s="7"/>
      <c r="E181" s="7" t="s">
        <v>2999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 t="s">
        <v>3000</v>
      </c>
      <c r="R181" s="7"/>
      <c r="S181" s="7"/>
      <c r="T181" s="7"/>
      <c r="U181" s="7"/>
      <c r="V181" s="7" t="s">
        <v>3001</v>
      </c>
      <c r="W181" s="7"/>
      <c r="X181" s="7"/>
      <c r="Y181" s="7"/>
      <c r="Z181" s="7"/>
      <c r="AA181" s="7"/>
      <c r="AB181" s="7"/>
      <c r="AC181" s="7"/>
      <c r="AD181" s="7"/>
      <c r="AE181" s="7"/>
      <c r="AF181" s="7" t="s">
        <v>3002</v>
      </c>
      <c r="AG181" s="7"/>
      <c r="AH181" s="7"/>
      <c r="AI181" s="7"/>
    </row>
    <row r="182" customFormat="false" ht="15.75" hidden="false" customHeight="true" outlineLevel="0" collapsed="false">
      <c r="A182" s="7"/>
      <c r="B182" s="7"/>
      <c r="C182" s="7"/>
      <c r="D182" s="7"/>
      <c r="E182" s="7" t="s">
        <v>3003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 t="s">
        <v>3004</v>
      </c>
      <c r="R182" s="7"/>
      <c r="S182" s="7"/>
      <c r="T182" s="7"/>
      <c r="U182" s="7"/>
      <c r="V182" s="7" t="s">
        <v>3005</v>
      </c>
      <c r="W182" s="7"/>
      <c r="X182" s="7"/>
      <c r="Y182" s="7"/>
      <c r="Z182" s="7"/>
      <c r="AA182" s="7"/>
      <c r="AB182" s="7"/>
      <c r="AC182" s="7"/>
      <c r="AD182" s="7"/>
      <c r="AE182" s="7"/>
      <c r="AF182" s="7" t="s">
        <v>3006</v>
      </c>
      <c r="AG182" s="7"/>
      <c r="AH182" s="7"/>
      <c r="AI182" s="7"/>
    </row>
    <row r="183" customFormat="false" ht="15.75" hidden="false" customHeight="true" outlineLevel="0" collapsed="false">
      <c r="A183" s="7"/>
      <c r="B183" s="7"/>
      <c r="C183" s="7"/>
      <c r="D183" s="7"/>
      <c r="E183" s="7" t="s">
        <v>3007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 t="s">
        <v>3008</v>
      </c>
      <c r="R183" s="7"/>
      <c r="S183" s="7"/>
      <c r="T183" s="7"/>
      <c r="U183" s="7"/>
      <c r="V183" s="7" t="s">
        <v>3009</v>
      </c>
      <c r="W183" s="7"/>
      <c r="X183" s="7"/>
      <c r="Y183" s="7"/>
      <c r="Z183" s="7"/>
      <c r="AA183" s="7"/>
      <c r="AB183" s="7"/>
      <c r="AC183" s="7"/>
      <c r="AD183" s="7"/>
      <c r="AE183" s="7"/>
      <c r="AF183" s="7" t="s">
        <v>3010</v>
      </c>
      <c r="AG183" s="7"/>
      <c r="AH183" s="7"/>
      <c r="AI183" s="7"/>
    </row>
    <row r="184" customFormat="false" ht="15.75" hidden="false" customHeight="true" outlineLevel="0" collapsed="false">
      <c r="A184" s="7"/>
      <c r="B184" s="7"/>
      <c r="C184" s="7"/>
      <c r="D184" s="7"/>
      <c r="E184" s="7" t="s">
        <v>3011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 t="s">
        <v>3012</v>
      </c>
      <c r="R184" s="7"/>
      <c r="S184" s="7"/>
      <c r="T184" s="7"/>
      <c r="U184" s="7"/>
      <c r="V184" s="7" t="s">
        <v>3013</v>
      </c>
      <c r="W184" s="7"/>
      <c r="X184" s="7"/>
      <c r="Y184" s="7"/>
      <c r="Z184" s="7"/>
      <c r="AA184" s="7"/>
      <c r="AB184" s="7"/>
      <c r="AC184" s="7"/>
      <c r="AD184" s="7"/>
      <c r="AE184" s="7"/>
      <c r="AF184" s="7" t="s">
        <v>3014</v>
      </c>
      <c r="AG184" s="7"/>
      <c r="AH184" s="7"/>
      <c r="AI184" s="7"/>
    </row>
    <row r="185" customFormat="false" ht="15.75" hidden="false" customHeight="true" outlineLevel="0" collapsed="false">
      <c r="A185" s="7"/>
      <c r="B185" s="7"/>
      <c r="C185" s="7"/>
      <c r="D185" s="7"/>
      <c r="E185" s="7" t="s">
        <v>3015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 t="s">
        <v>3016</v>
      </c>
      <c r="R185" s="7"/>
      <c r="S185" s="7"/>
      <c r="T185" s="7"/>
      <c r="U185" s="7"/>
      <c r="V185" s="7" t="s">
        <v>3017</v>
      </c>
      <c r="W185" s="7"/>
      <c r="X185" s="7"/>
      <c r="Y185" s="7"/>
      <c r="Z185" s="7"/>
      <c r="AA185" s="7"/>
      <c r="AB185" s="7"/>
      <c r="AC185" s="7"/>
      <c r="AD185" s="7"/>
      <c r="AE185" s="7"/>
      <c r="AF185" s="7" t="s">
        <v>3018</v>
      </c>
      <c r="AG185" s="7"/>
      <c r="AH185" s="7"/>
      <c r="AI185" s="7"/>
    </row>
    <row r="186" customFormat="false" ht="15.75" hidden="false" customHeight="true" outlineLevel="0" collapsed="false">
      <c r="A186" s="7"/>
      <c r="B186" s="7"/>
      <c r="C186" s="7"/>
      <c r="D186" s="7"/>
      <c r="E186" s="7" t="s">
        <v>3019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 t="s">
        <v>3020</v>
      </c>
      <c r="R186" s="7"/>
      <c r="S186" s="7"/>
      <c r="T186" s="7"/>
      <c r="U186" s="7"/>
      <c r="V186" s="7" t="s">
        <v>3021</v>
      </c>
      <c r="W186" s="7"/>
      <c r="X186" s="7"/>
      <c r="Y186" s="7"/>
      <c r="Z186" s="7"/>
      <c r="AA186" s="7"/>
      <c r="AB186" s="7"/>
      <c r="AC186" s="7"/>
      <c r="AD186" s="7"/>
      <c r="AE186" s="7"/>
      <c r="AF186" s="7" t="s">
        <v>3022</v>
      </c>
      <c r="AG186" s="7"/>
      <c r="AH186" s="7"/>
      <c r="AI186" s="7"/>
    </row>
    <row r="187" customFormat="false" ht="15.75" hidden="false" customHeight="true" outlineLevel="0" collapsed="false">
      <c r="A187" s="7"/>
      <c r="B187" s="7"/>
      <c r="C187" s="7"/>
      <c r="D187" s="7"/>
      <c r="E187" s="7" t="s">
        <v>3023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 t="s">
        <v>3024</v>
      </c>
      <c r="R187" s="7"/>
      <c r="S187" s="7"/>
      <c r="T187" s="7"/>
      <c r="U187" s="7"/>
      <c r="V187" s="7" t="s">
        <v>3025</v>
      </c>
      <c r="W187" s="7"/>
      <c r="X187" s="7"/>
      <c r="Y187" s="7"/>
      <c r="Z187" s="7"/>
      <c r="AA187" s="7"/>
      <c r="AB187" s="7"/>
      <c r="AC187" s="7"/>
      <c r="AD187" s="7"/>
      <c r="AE187" s="7"/>
      <c r="AF187" s="7" t="s">
        <v>3026</v>
      </c>
      <c r="AG187" s="7"/>
      <c r="AH187" s="7"/>
      <c r="AI187" s="7"/>
    </row>
    <row r="188" customFormat="false" ht="15.75" hidden="false" customHeight="true" outlineLevel="0" collapsed="false">
      <c r="A188" s="7"/>
      <c r="B188" s="7"/>
      <c r="C188" s="7"/>
      <c r="D188" s="7"/>
      <c r="E188" s="7" t="s">
        <v>3027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 t="s">
        <v>3028</v>
      </c>
      <c r="R188" s="7"/>
      <c r="S188" s="7"/>
      <c r="T188" s="7"/>
      <c r="U188" s="7"/>
      <c r="V188" s="7" t="s">
        <v>3029</v>
      </c>
      <c r="W188" s="7"/>
      <c r="X188" s="7"/>
      <c r="Y188" s="7"/>
      <c r="Z188" s="7"/>
      <c r="AA188" s="7"/>
      <c r="AB188" s="7"/>
      <c r="AC188" s="7"/>
      <c r="AD188" s="7"/>
      <c r="AE188" s="7"/>
      <c r="AF188" s="7" t="s">
        <v>3030</v>
      </c>
      <c r="AG188" s="7"/>
      <c r="AH188" s="7"/>
      <c r="AI188" s="7"/>
    </row>
    <row r="189" customFormat="false" ht="15.75" hidden="false" customHeight="true" outlineLevel="0" collapsed="false">
      <c r="A189" s="7"/>
      <c r="B189" s="7"/>
      <c r="C189" s="7"/>
      <c r="D189" s="7"/>
      <c r="E189" s="7" t="s">
        <v>3031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 t="s">
        <v>3032</v>
      </c>
      <c r="R189" s="7"/>
      <c r="S189" s="7"/>
      <c r="T189" s="7"/>
      <c r="U189" s="7"/>
      <c r="V189" s="7" t="s">
        <v>3033</v>
      </c>
      <c r="W189" s="7"/>
      <c r="X189" s="7"/>
      <c r="Y189" s="7"/>
      <c r="Z189" s="7"/>
      <c r="AA189" s="7"/>
      <c r="AB189" s="7"/>
      <c r="AC189" s="7"/>
      <c r="AD189" s="7"/>
      <c r="AE189" s="7"/>
      <c r="AF189" s="7" t="s">
        <v>3034</v>
      </c>
      <c r="AG189" s="7"/>
      <c r="AH189" s="7"/>
      <c r="AI189" s="7"/>
    </row>
    <row r="190" customFormat="false" ht="15.75" hidden="false" customHeight="true" outlineLevel="0" collapsed="false">
      <c r="A190" s="7"/>
      <c r="B190" s="7"/>
      <c r="C190" s="7"/>
      <c r="D190" s="7"/>
      <c r="E190" s="7" t="s">
        <v>3035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 t="s">
        <v>3036</v>
      </c>
      <c r="R190" s="7"/>
      <c r="S190" s="7"/>
      <c r="T190" s="7"/>
      <c r="U190" s="7"/>
      <c r="V190" s="7" t="s">
        <v>3037</v>
      </c>
      <c r="W190" s="7"/>
      <c r="X190" s="7"/>
      <c r="Y190" s="7"/>
      <c r="Z190" s="7"/>
      <c r="AA190" s="7"/>
      <c r="AB190" s="7"/>
      <c r="AC190" s="7"/>
      <c r="AD190" s="7"/>
      <c r="AE190" s="7"/>
      <c r="AF190" s="7" t="s">
        <v>3038</v>
      </c>
      <c r="AG190" s="7"/>
      <c r="AH190" s="7"/>
      <c r="AI190" s="7"/>
    </row>
    <row r="191" customFormat="false" ht="15.75" hidden="false" customHeight="true" outlineLevel="0" collapsed="false">
      <c r="A191" s="7"/>
      <c r="B191" s="7"/>
      <c r="C191" s="7"/>
      <c r="D191" s="7"/>
      <c r="E191" s="7" t="s">
        <v>3039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 t="s">
        <v>3040</v>
      </c>
      <c r="R191" s="7"/>
      <c r="S191" s="7"/>
      <c r="T191" s="7"/>
      <c r="U191" s="7"/>
      <c r="V191" s="7" t="s">
        <v>3041</v>
      </c>
      <c r="W191" s="7"/>
      <c r="X191" s="7"/>
      <c r="Y191" s="7"/>
      <c r="Z191" s="7"/>
      <c r="AA191" s="7"/>
      <c r="AB191" s="7"/>
      <c r="AC191" s="7"/>
      <c r="AD191" s="7"/>
      <c r="AE191" s="7"/>
      <c r="AF191" s="7" t="s">
        <v>3042</v>
      </c>
      <c r="AG191" s="7"/>
      <c r="AH191" s="7"/>
      <c r="AI191" s="7"/>
    </row>
    <row r="192" customFormat="false" ht="15.75" hidden="false" customHeight="true" outlineLevel="0" collapsed="false">
      <c r="A192" s="7"/>
      <c r="B192" s="7"/>
      <c r="C192" s="7"/>
      <c r="D192" s="7"/>
      <c r="E192" s="7" t="s">
        <v>3043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 t="s">
        <v>3044</v>
      </c>
      <c r="R192" s="7"/>
      <c r="S192" s="7"/>
      <c r="T192" s="7"/>
      <c r="U192" s="7"/>
      <c r="V192" s="7" t="s">
        <v>3045</v>
      </c>
      <c r="W192" s="7"/>
      <c r="X192" s="7"/>
      <c r="Y192" s="7"/>
      <c r="Z192" s="7"/>
      <c r="AA192" s="7"/>
      <c r="AB192" s="7"/>
      <c r="AC192" s="7"/>
      <c r="AD192" s="7"/>
      <c r="AE192" s="7"/>
      <c r="AF192" s="7" t="s">
        <v>3046</v>
      </c>
      <c r="AG192" s="7"/>
      <c r="AH192" s="7"/>
      <c r="AI192" s="7"/>
    </row>
    <row r="193" customFormat="false" ht="15.75" hidden="false" customHeight="true" outlineLevel="0" collapsed="false">
      <c r="A193" s="7"/>
      <c r="B193" s="7"/>
      <c r="C193" s="7"/>
      <c r="D193" s="7"/>
      <c r="E193" s="7" t="s">
        <v>3047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 t="s">
        <v>3048</v>
      </c>
      <c r="R193" s="7"/>
      <c r="S193" s="7"/>
      <c r="T193" s="7"/>
      <c r="U193" s="7"/>
      <c r="V193" s="7" t="s">
        <v>3049</v>
      </c>
      <c r="W193" s="7"/>
      <c r="X193" s="7"/>
      <c r="Y193" s="7"/>
      <c r="Z193" s="7"/>
      <c r="AA193" s="7"/>
      <c r="AB193" s="7"/>
      <c r="AC193" s="7"/>
      <c r="AD193" s="7"/>
      <c r="AE193" s="7"/>
      <c r="AF193" s="7" t="s">
        <v>3050</v>
      </c>
      <c r="AG193" s="7"/>
      <c r="AH193" s="7"/>
      <c r="AI193" s="7"/>
    </row>
    <row r="194" customFormat="false" ht="15.75" hidden="false" customHeight="true" outlineLevel="0" collapsed="false">
      <c r="A194" s="7"/>
      <c r="B194" s="7"/>
      <c r="C194" s="7"/>
      <c r="D194" s="7"/>
      <c r="E194" s="7" t="s">
        <v>3051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 t="s">
        <v>3052</v>
      </c>
      <c r="R194" s="7"/>
      <c r="S194" s="7"/>
      <c r="T194" s="7"/>
      <c r="U194" s="7"/>
      <c r="V194" s="7" t="s">
        <v>3053</v>
      </c>
      <c r="W194" s="7"/>
      <c r="X194" s="7"/>
      <c r="Y194" s="7"/>
      <c r="Z194" s="7"/>
      <c r="AA194" s="7"/>
      <c r="AB194" s="7"/>
      <c r="AC194" s="7"/>
      <c r="AD194" s="7"/>
      <c r="AE194" s="7"/>
      <c r="AF194" s="7" t="s">
        <v>3054</v>
      </c>
      <c r="AG194" s="7"/>
      <c r="AH194" s="7"/>
      <c r="AI194" s="7"/>
    </row>
    <row r="195" customFormat="false" ht="15.75" hidden="false" customHeight="true" outlineLevel="0" collapsed="false">
      <c r="A195" s="7"/>
      <c r="B195" s="7"/>
      <c r="C195" s="7"/>
      <c r="D195" s="7"/>
      <c r="E195" s="7" t="s">
        <v>3055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 t="s">
        <v>3056</v>
      </c>
      <c r="R195" s="7"/>
      <c r="S195" s="7"/>
      <c r="T195" s="7"/>
      <c r="U195" s="7"/>
      <c r="V195" s="7" t="s">
        <v>3057</v>
      </c>
      <c r="W195" s="7"/>
      <c r="X195" s="7"/>
      <c r="Y195" s="7"/>
      <c r="Z195" s="7"/>
      <c r="AA195" s="7"/>
      <c r="AB195" s="7"/>
      <c r="AC195" s="7"/>
      <c r="AD195" s="7"/>
      <c r="AE195" s="7"/>
      <c r="AF195" s="7" t="s">
        <v>3058</v>
      </c>
      <c r="AG195" s="7"/>
      <c r="AH195" s="7"/>
      <c r="AI195" s="7"/>
    </row>
    <row r="196" customFormat="false" ht="15.75" hidden="false" customHeight="true" outlineLevel="0" collapsed="false">
      <c r="A196" s="7"/>
      <c r="B196" s="7"/>
      <c r="C196" s="7"/>
      <c r="D196" s="7"/>
      <c r="E196" s="7" t="s">
        <v>3059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 t="s">
        <v>3060</v>
      </c>
      <c r="R196" s="7"/>
      <c r="S196" s="7"/>
      <c r="T196" s="7"/>
      <c r="U196" s="7"/>
      <c r="V196" s="7" t="s">
        <v>3061</v>
      </c>
      <c r="W196" s="7"/>
      <c r="X196" s="7"/>
      <c r="Y196" s="7"/>
      <c r="Z196" s="7"/>
      <c r="AA196" s="7"/>
      <c r="AB196" s="7"/>
      <c r="AC196" s="7"/>
      <c r="AD196" s="7"/>
      <c r="AE196" s="7"/>
      <c r="AF196" s="7" t="s">
        <v>3062</v>
      </c>
      <c r="AG196" s="7"/>
      <c r="AH196" s="7"/>
      <c r="AI196" s="7"/>
    </row>
    <row r="197" customFormat="false" ht="15.75" hidden="false" customHeight="true" outlineLevel="0" collapsed="false">
      <c r="A197" s="7"/>
      <c r="B197" s="7"/>
      <c r="C197" s="7"/>
      <c r="D197" s="7"/>
      <c r="E197" s="7" t="s">
        <v>3063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 t="s">
        <v>3064</v>
      </c>
      <c r="R197" s="7"/>
      <c r="S197" s="7"/>
      <c r="T197" s="7"/>
      <c r="U197" s="7"/>
      <c r="V197" s="7" t="s">
        <v>3065</v>
      </c>
      <c r="W197" s="7"/>
      <c r="X197" s="7"/>
      <c r="Y197" s="7"/>
      <c r="Z197" s="7"/>
      <c r="AA197" s="7"/>
      <c r="AB197" s="7"/>
      <c r="AC197" s="7"/>
      <c r="AD197" s="7"/>
      <c r="AE197" s="7"/>
      <c r="AF197" s="7" t="s">
        <v>3066</v>
      </c>
      <c r="AG197" s="7"/>
      <c r="AH197" s="7"/>
      <c r="AI197" s="7"/>
    </row>
    <row r="198" customFormat="false" ht="15.75" hidden="false" customHeight="true" outlineLevel="0" collapsed="false">
      <c r="A198" s="7"/>
      <c r="B198" s="7"/>
      <c r="C198" s="7"/>
      <c r="D198" s="7"/>
      <c r="E198" s="7" t="s">
        <v>3067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 t="s">
        <v>3068</v>
      </c>
      <c r="R198" s="7"/>
      <c r="S198" s="7"/>
      <c r="T198" s="7"/>
      <c r="U198" s="7"/>
      <c r="V198" s="7" t="s">
        <v>3069</v>
      </c>
      <c r="W198" s="7"/>
      <c r="X198" s="7"/>
      <c r="Y198" s="7"/>
      <c r="Z198" s="7"/>
      <c r="AA198" s="7"/>
      <c r="AB198" s="7"/>
      <c r="AC198" s="7"/>
      <c r="AD198" s="7"/>
      <c r="AE198" s="7"/>
      <c r="AF198" s="7" t="s">
        <v>3070</v>
      </c>
      <c r="AG198" s="7"/>
      <c r="AH198" s="7"/>
      <c r="AI198" s="7"/>
    </row>
    <row r="199" customFormat="false" ht="15.75" hidden="false" customHeight="true" outlineLevel="0" collapsed="false">
      <c r="A199" s="7"/>
      <c r="B199" s="7"/>
      <c r="C199" s="7"/>
      <c r="D199" s="7"/>
      <c r="E199" s="7" t="s">
        <v>3071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 t="s">
        <v>3072</v>
      </c>
      <c r="R199" s="7"/>
      <c r="S199" s="7"/>
      <c r="T199" s="7"/>
      <c r="U199" s="7"/>
      <c r="V199" s="7" t="s">
        <v>3073</v>
      </c>
      <c r="W199" s="7"/>
      <c r="X199" s="7"/>
      <c r="Y199" s="7"/>
      <c r="Z199" s="7"/>
      <c r="AA199" s="7"/>
      <c r="AB199" s="7"/>
      <c r="AC199" s="7"/>
      <c r="AD199" s="7"/>
      <c r="AE199" s="7"/>
      <c r="AF199" s="7" t="s">
        <v>3074</v>
      </c>
      <c r="AG199" s="7"/>
      <c r="AH199" s="7"/>
      <c r="AI199" s="7"/>
    </row>
    <row r="200" customFormat="false" ht="15.75" hidden="false" customHeight="true" outlineLevel="0" collapsed="false">
      <c r="A200" s="7"/>
      <c r="B200" s="7"/>
      <c r="C200" s="7"/>
      <c r="D200" s="7"/>
      <c r="E200" s="7" t="s">
        <v>3075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 t="s">
        <v>3076</v>
      </c>
      <c r="R200" s="7"/>
      <c r="S200" s="7"/>
      <c r="T200" s="7"/>
      <c r="U200" s="7"/>
      <c r="V200" s="7" t="s">
        <v>3077</v>
      </c>
      <c r="W200" s="7"/>
      <c r="X200" s="7"/>
      <c r="Y200" s="7"/>
      <c r="Z200" s="7"/>
      <c r="AA200" s="7"/>
      <c r="AB200" s="7"/>
      <c r="AC200" s="7"/>
      <c r="AD200" s="7"/>
      <c r="AE200" s="7"/>
      <c r="AF200" s="7" t="s">
        <v>3078</v>
      </c>
      <c r="AG200" s="7"/>
      <c r="AH200" s="7"/>
      <c r="AI200" s="7"/>
    </row>
    <row r="201" customFormat="false" ht="15.75" hidden="false" customHeight="true" outlineLevel="0" collapsed="false">
      <c r="A201" s="7"/>
      <c r="B201" s="7"/>
      <c r="C201" s="7"/>
      <c r="D201" s="7"/>
      <c r="E201" s="7" t="s">
        <v>3079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 t="s">
        <v>3080</v>
      </c>
      <c r="R201" s="7"/>
      <c r="S201" s="7"/>
      <c r="T201" s="7"/>
      <c r="U201" s="7"/>
      <c r="V201" s="7" t="s">
        <v>3081</v>
      </c>
      <c r="W201" s="7"/>
      <c r="X201" s="7"/>
      <c r="Y201" s="7"/>
      <c r="Z201" s="7"/>
      <c r="AA201" s="7"/>
      <c r="AB201" s="7"/>
      <c r="AC201" s="7"/>
      <c r="AD201" s="7"/>
      <c r="AE201" s="7"/>
      <c r="AF201" s="7" t="s">
        <v>3082</v>
      </c>
      <c r="AG201" s="7"/>
      <c r="AH201" s="7"/>
      <c r="AI201" s="7"/>
    </row>
    <row r="202" customFormat="false" ht="15.75" hidden="false" customHeight="true" outlineLevel="0" collapsed="false">
      <c r="A202" s="7"/>
      <c r="B202" s="7"/>
      <c r="C202" s="7"/>
      <c r="D202" s="7"/>
      <c r="E202" s="7" t="s">
        <v>3083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 t="s">
        <v>3084</v>
      </c>
      <c r="R202" s="7"/>
      <c r="S202" s="7"/>
      <c r="T202" s="7"/>
      <c r="U202" s="7"/>
      <c r="V202" s="7" t="s">
        <v>3085</v>
      </c>
      <c r="W202" s="7"/>
      <c r="X202" s="7"/>
      <c r="Y202" s="7"/>
      <c r="Z202" s="7"/>
      <c r="AA202" s="7"/>
      <c r="AB202" s="7"/>
      <c r="AC202" s="7"/>
      <c r="AD202" s="7"/>
      <c r="AE202" s="7"/>
      <c r="AF202" s="7" t="s">
        <v>3086</v>
      </c>
      <c r="AG202" s="7"/>
      <c r="AH202" s="7"/>
      <c r="AI202" s="7"/>
    </row>
    <row r="203" customFormat="false" ht="15.75" hidden="false" customHeight="true" outlineLevel="0" collapsed="false">
      <c r="A203" s="7"/>
      <c r="B203" s="7"/>
      <c r="C203" s="7"/>
      <c r="D203" s="7"/>
      <c r="E203" s="7" t="s">
        <v>3087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 t="s">
        <v>3088</v>
      </c>
      <c r="R203" s="7"/>
      <c r="S203" s="7"/>
      <c r="T203" s="7"/>
      <c r="U203" s="7"/>
      <c r="V203" s="7" t="s">
        <v>3089</v>
      </c>
      <c r="W203" s="7"/>
      <c r="X203" s="7"/>
      <c r="Y203" s="7"/>
      <c r="Z203" s="7"/>
      <c r="AA203" s="7"/>
      <c r="AB203" s="7"/>
      <c r="AC203" s="7"/>
      <c r="AD203" s="7"/>
      <c r="AE203" s="7"/>
      <c r="AF203" s="7" t="s">
        <v>3090</v>
      </c>
      <c r="AG203" s="7"/>
      <c r="AH203" s="7"/>
      <c r="AI203" s="7"/>
    </row>
    <row r="204" customFormat="false" ht="15.75" hidden="false" customHeight="true" outlineLevel="0" collapsed="false">
      <c r="A204" s="7"/>
      <c r="B204" s="7"/>
      <c r="C204" s="7"/>
      <c r="D204" s="7"/>
      <c r="E204" s="7" t="s">
        <v>3091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 t="s">
        <v>3092</v>
      </c>
      <c r="R204" s="7"/>
      <c r="S204" s="7"/>
      <c r="T204" s="7"/>
      <c r="U204" s="7"/>
      <c r="V204" s="7" t="s">
        <v>3093</v>
      </c>
      <c r="W204" s="7"/>
      <c r="X204" s="7"/>
      <c r="Y204" s="7"/>
      <c r="Z204" s="7"/>
      <c r="AA204" s="7"/>
      <c r="AB204" s="7"/>
      <c r="AC204" s="7"/>
      <c r="AD204" s="7"/>
      <c r="AE204" s="7"/>
      <c r="AF204" s="7" t="s">
        <v>3094</v>
      </c>
      <c r="AG204" s="7"/>
      <c r="AH204" s="7"/>
      <c r="AI204" s="7"/>
    </row>
    <row r="205" customFormat="false" ht="15.75" hidden="false" customHeight="true" outlineLevel="0" collapsed="false">
      <c r="A205" s="7"/>
      <c r="B205" s="7"/>
      <c r="C205" s="7"/>
      <c r="D205" s="7"/>
      <c r="E205" s="7" t="s">
        <v>3095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 t="s">
        <v>3096</v>
      </c>
      <c r="R205" s="7"/>
      <c r="S205" s="7"/>
      <c r="T205" s="7"/>
      <c r="U205" s="7"/>
      <c r="V205" s="7" t="s">
        <v>3097</v>
      </c>
      <c r="W205" s="7"/>
      <c r="X205" s="7"/>
      <c r="Y205" s="7"/>
      <c r="Z205" s="7"/>
      <c r="AA205" s="7"/>
      <c r="AB205" s="7"/>
      <c r="AC205" s="7"/>
      <c r="AD205" s="7"/>
      <c r="AE205" s="7"/>
      <c r="AF205" s="7" t="s">
        <v>3098</v>
      </c>
      <c r="AG205" s="7"/>
      <c r="AH205" s="7"/>
      <c r="AI205" s="7"/>
    </row>
    <row r="206" customFormat="false" ht="15.75" hidden="false" customHeight="true" outlineLevel="0" collapsed="false">
      <c r="A206" s="7"/>
      <c r="B206" s="7"/>
      <c r="C206" s="7"/>
      <c r="D206" s="7"/>
      <c r="E206" s="7" t="s">
        <v>3099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 t="s">
        <v>3100</v>
      </c>
      <c r="R206" s="7"/>
      <c r="S206" s="7"/>
      <c r="T206" s="7"/>
      <c r="U206" s="7"/>
      <c r="V206" s="7" t="s">
        <v>3101</v>
      </c>
      <c r="W206" s="7"/>
      <c r="X206" s="7"/>
      <c r="Y206" s="7"/>
      <c r="Z206" s="7"/>
      <c r="AA206" s="7"/>
      <c r="AB206" s="7"/>
      <c r="AC206" s="7"/>
      <c r="AD206" s="7"/>
      <c r="AE206" s="7"/>
      <c r="AF206" s="7" t="s">
        <v>3102</v>
      </c>
      <c r="AG206" s="7"/>
      <c r="AH206" s="7"/>
      <c r="AI206" s="7"/>
    </row>
    <row r="207" customFormat="false" ht="15.75" hidden="false" customHeight="true" outlineLevel="0" collapsed="false">
      <c r="A207" s="7"/>
      <c r="B207" s="7"/>
      <c r="C207" s="7"/>
      <c r="D207" s="7"/>
      <c r="E207" s="7" t="s">
        <v>3103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 t="s">
        <v>3104</v>
      </c>
      <c r="R207" s="7"/>
      <c r="S207" s="7"/>
      <c r="T207" s="7"/>
      <c r="U207" s="7"/>
      <c r="V207" s="7" t="s">
        <v>3105</v>
      </c>
      <c r="W207" s="7"/>
      <c r="X207" s="7"/>
      <c r="Y207" s="7"/>
      <c r="Z207" s="7"/>
      <c r="AA207" s="7"/>
      <c r="AB207" s="7"/>
      <c r="AC207" s="7"/>
      <c r="AD207" s="7"/>
      <c r="AE207" s="7"/>
      <c r="AF207" s="7" t="s">
        <v>3106</v>
      </c>
      <c r="AG207" s="7"/>
      <c r="AH207" s="7"/>
      <c r="AI207" s="7"/>
    </row>
    <row r="208" customFormat="false" ht="15.75" hidden="false" customHeight="true" outlineLevel="0" collapsed="false">
      <c r="A208" s="7"/>
      <c r="B208" s="7"/>
      <c r="C208" s="7"/>
      <c r="D208" s="7"/>
      <c r="E208" s="7" t="s">
        <v>3107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 t="s">
        <v>3108</v>
      </c>
      <c r="R208" s="7"/>
      <c r="S208" s="7"/>
      <c r="T208" s="7"/>
      <c r="U208" s="7"/>
      <c r="V208" s="7" t="s">
        <v>3109</v>
      </c>
      <c r="W208" s="7"/>
      <c r="X208" s="7"/>
      <c r="Y208" s="7"/>
      <c r="Z208" s="7"/>
      <c r="AA208" s="7"/>
      <c r="AB208" s="7"/>
      <c r="AC208" s="7"/>
      <c r="AD208" s="7"/>
      <c r="AE208" s="7"/>
      <c r="AF208" s="7" t="s">
        <v>3110</v>
      </c>
      <c r="AG208" s="7"/>
      <c r="AH208" s="7"/>
      <c r="AI208" s="7"/>
    </row>
    <row r="209" customFormat="false" ht="15.75" hidden="false" customHeight="true" outlineLevel="0" collapsed="false">
      <c r="A209" s="7"/>
      <c r="B209" s="7"/>
      <c r="C209" s="7"/>
      <c r="D209" s="7"/>
      <c r="E209" s="7" t="s">
        <v>3111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 t="s">
        <v>3112</v>
      </c>
      <c r="R209" s="7"/>
      <c r="S209" s="7"/>
      <c r="T209" s="7"/>
      <c r="U209" s="7"/>
      <c r="V209" s="7" t="s">
        <v>3113</v>
      </c>
      <c r="W209" s="7"/>
      <c r="X209" s="7"/>
      <c r="Y209" s="7"/>
      <c r="Z209" s="7"/>
      <c r="AA209" s="7"/>
      <c r="AB209" s="7"/>
      <c r="AC209" s="7"/>
      <c r="AD209" s="7"/>
      <c r="AE209" s="7"/>
      <c r="AF209" s="7" t="s">
        <v>3114</v>
      </c>
      <c r="AG209" s="7"/>
      <c r="AH209" s="7"/>
      <c r="AI209" s="7"/>
    </row>
    <row r="210" customFormat="false" ht="15.75" hidden="false" customHeight="true" outlineLevel="0" collapsed="false">
      <c r="A210" s="7"/>
      <c r="B210" s="7"/>
      <c r="C210" s="7"/>
      <c r="D210" s="7"/>
      <c r="E210" s="7" t="s">
        <v>3115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 t="s">
        <v>3116</v>
      </c>
      <c r="R210" s="7"/>
      <c r="S210" s="7"/>
      <c r="T210" s="7"/>
      <c r="U210" s="7"/>
      <c r="V210" s="7" t="s">
        <v>3117</v>
      </c>
      <c r="W210" s="7"/>
      <c r="X210" s="7"/>
      <c r="Y210" s="7"/>
      <c r="Z210" s="7"/>
      <c r="AA210" s="7"/>
      <c r="AB210" s="7"/>
      <c r="AC210" s="7"/>
      <c r="AD210" s="7"/>
      <c r="AE210" s="7"/>
      <c r="AF210" s="7" t="s">
        <v>3118</v>
      </c>
      <c r="AG210" s="7"/>
      <c r="AH210" s="7"/>
      <c r="AI210" s="7"/>
    </row>
    <row r="211" customFormat="false" ht="15.75" hidden="false" customHeight="true" outlineLevel="0" collapsed="false">
      <c r="A211" s="7"/>
      <c r="B211" s="7"/>
      <c r="C211" s="7"/>
      <c r="D211" s="7"/>
      <c r="E211" s="7" t="s">
        <v>3119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 t="s">
        <v>3120</v>
      </c>
      <c r="R211" s="7"/>
      <c r="S211" s="7"/>
      <c r="T211" s="7"/>
      <c r="U211" s="7"/>
      <c r="V211" s="7" t="s">
        <v>3121</v>
      </c>
      <c r="W211" s="7"/>
      <c r="X211" s="7"/>
      <c r="Y211" s="7"/>
      <c r="Z211" s="7"/>
      <c r="AA211" s="7"/>
      <c r="AB211" s="7"/>
      <c r="AC211" s="7"/>
      <c r="AD211" s="7"/>
      <c r="AE211" s="7"/>
      <c r="AF211" s="7" t="s">
        <v>3122</v>
      </c>
      <c r="AG211" s="7"/>
      <c r="AH211" s="7"/>
      <c r="AI211" s="7"/>
    </row>
    <row r="212" customFormat="false" ht="15.75" hidden="false" customHeight="true" outlineLevel="0" collapsed="false">
      <c r="A212" s="7"/>
      <c r="B212" s="7"/>
      <c r="C212" s="7"/>
      <c r="D212" s="7"/>
      <c r="E212" s="7" t="s">
        <v>3123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 t="s">
        <v>3124</v>
      </c>
      <c r="R212" s="7"/>
      <c r="S212" s="7"/>
      <c r="T212" s="7"/>
      <c r="U212" s="7"/>
      <c r="V212" s="7" t="s">
        <v>3125</v>
      </c>
      <c r="W212" s="7"/>
      <c r="X212" s="7"/>
      <c r="Y212" s="7"/>
      <c r="Z212" s="7"/>
      <c r="AA212" s="7"/>
      <c r="AB212" s="7"/>
      <c r="AC212" s="7"/>
      <c r="AD212" s="7"/>
      <c r="AE212" s="7"/>
      <c r="AF212" s="7" t="s">
        <v>3126</v>
      </c>
      <c r="AG212" s="7"/>
      <c r="AH212" s="7"/>
      <c r="AI212" s="7"/>
    </row>
    <row r="213" customFormat="false" ht="15.75" hidden="false" customHeight="true" outlineLevel="0" collapsed="false">
      <c r="A213" s="7"/>
      <c r="B213" s="7"/>
      <c r="C213" s="7"/>
      <c r="D213" s="7"/>
      <c r="E213" s="7" t="s">
        <v>3127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 t="s">
        <v>3128</v>
      </c>
      <c r="R213" s="7"/>
      <c r="S213" s="7"/>
      <c r="T213" s="7"/>
      <c r="U213" s="7"/>
      <c r="V213" s="7" t="s">
        <v>3129</v>
      </c>
      <c r="W213" s="7"/>
      <c r="X213" s="7"/>
      <c r="Y213" s="7"/>
      <c r="Z213" s="7"/>
      <c r="AA213" s="7"/>
      <c r="AB213" s="7"/>
      <c r="AC213" s="7"/>
      <c r="AD213" s="7"/>
      <c r="AE213" s="7"/>
      <c r="AF213" s="7" t="s">
        <v>3130</v>
      </c>
      <c r="AG213" s="7"/>
      <c r="AH213" s="7"/>
      <c r="AI213" s="7"/>
    </row>
    <row r="214" customFormat="false" ht="15.75" hidden="false" customHeight="true" outlineLevel="0" collapsed="false">
      <c r="A214" s="7"/>
      <c r="B214" s="7"/>
      <c r="C214" s="7"/>
      <c r="D214" s="7"/>
      <c r="E214" s="7" t="s">
        <v>3131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 t="s">
        <v>3132</v>
      </c>
      <c r="R214" s="7"/>
      <c r="S214" s="7"/>
      <c r="T214" s="7"/>
      <c r="U214" s="7"/>
      <c r="V214" s="7" t="s">
        <v>3133</v>
      </c>
      <c r="W214" s="7"/>
      <c r="X214" s="7"/>
      <c r="Y214" s="7"/>
      <c r="Z214" s="7"/>
      <c r="AA214" s="7"/>
      <c r="AB214" s="7"/>
      <c r="AC214" s="7"/>
      <c r="AD214" s="7"/>
      <c r="AE214" s="7"/>
      <c r="AF214" s="7" t="s">
        <v>3134</v>
      </c>
      <c r="AG214" s="7"/>
      <c r="AH214" s="7"/>
      <c r="AI214" s="7"/>
    </row>
    <row r="215" customFormat="false" ht="15.75" hidden="false" customHeight="true" outlineLevel="0" collapsed="false">
      <c r="A215" s="7"/>
      <c r="B215" s="7"/>
      <c r="C215" s="7"/>
      <c r="D215" s="7"/>
      <c r="E215" s="7" t="s">
        <v>3135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 t="s">
        <v>3136</v>
      </c>
      <c r="R215" s="7"/>
      <c r="S215" s="7"/>
      <c r="T215" s="7"/>
      <c r="U215" s="7"/>
      <c r="V215" s="7" t="s">
        <v>3137</v>
      </c>
      <c r="W215" s="7"/>
      <c r="X215" s="7"/>
      <c r="Y215" s="7"/>
      <c r="Z215" s="7"/>
      <c r="AA215" s="7"/>
      <c r="AB215" s="7"/>
      <c r="AC215" s="7"/>
      <c r="AD215" s="7"/>
      <c r="AE215" s="7"/>
      <c r="AF215" s="7" t="s">
        <v>3138</v>
      </c>
      <c r="AG215" s="7"/>
      <c r="AH215" s="7"/>
      <c r="AI215" s="7"/>
    </row>
    <row r="216" customFormat="false" ht="15.75" hidden="false" customHeight="true" outlineLevel="0" collapsed="false">
      <c r="A216" s="7"/>
      <c r="B216" s="7"/>
      <c r="C216" s="7"/>
      <c r="D216" s="7"/>
      <c r="E216" s="7" t="s">
        <v>3139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 t="s">
        <v>3140</v>
      </c>
      <c r="R216" s="7"/>
      <c r="S216" s="7"/>
      <c r="T216" s="7"/>
      <c r="U216" s="7"/>
      <c r="V216" s="7" t="s">
        <v>3141</v>
      </c>
      <c r="W216" s="7"/>
      <c r="X216" s="7"/>
      <c r="Y216" s="7"/>
      <c r="Z216" s="7"/>
      <c r="AA216" s="7"/>
      <c r="AB216" s="7"/>
      <c r="AC216" s="7"/>
      <c r="AD216" s="7"/>
      <c r="AE216" s="7"/>
      <c r="AF216" s="7" t="s">
        <v>3142</v>
      </c>
      <c r="AG216" s="7"/>
      <c r="AH216" s="7"/>
      <c r="AI216" s="7"/>
    </row>
    <row r="217" customFormat="false" ht="15.75" hidden="false" customHeight="true" outlineLevel="0" collapsed="false">
      <c r="A217" s="7"/>
      <c r="B217" s="7"/>
      <c r="C217" s="7"/>
      <c r="D217" s="7"/>
      <c r="E217" s="7" t="s">
        <v>3143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 t="s">
        <v>3144</v>
      </c>
      <c r="R217" s="7"/>
      <c r="S217" s="7"/>
      <c r="T217" s="7"/>
      <c r="U217" s="7"/>
      <c r="V217" s="7" t="s">
        <v>3145</v>
      </c>
      <c r="W217" s="7"/>
      <c r="X217" s="7"/>
      <c r="Y217" s="7"/>
      <c r="Z217" s="7"/>
      <c r="AA217" s="7"/>
      <c r="AB217" s="7"/>
      <c r="AC217" s="7"/>
      <c r="AD217" s="7"/>
      <c r="AE217" s="7"/>
      <c r="AF217" s="7" t="s">
        <v>3146</v>
      </c>
      <c r="AG217" s="7"/>
      <c r="AH217" s="7"/>
      <c r="AI217" s="7"/>
    </row>
    <row r="218" customFormat="false" ht="15.75" hidden="false" customHeight="true" outlineLevel="0" collapsed="false">
      <c r="A218" s="7"/>
      <c r="B218" s="7"/>
      <c r="C218" s="7"/>
      <c r="D218" s="7"/>
      <c r="E218" s="7" t="s">
        <v>3147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 t="s">
        <v>3148</v>
      </c>
      <c r="R218" s="7"/>
      <c r="S218" s="7"/>
      <c r="T218" s="7"/>
      <c r="U218" s="7"/>
      <c r="V218" s="7" t="s">
        <v>3149</v>
      </c>
      <c r="W218" s="7"/>
      <c r="X218" s="7"/>
      <c r="Y218" s="7"/>
      <c r="Z218" s="7"/>
      <c r="AA218" s="7"/>
      <c r="AB218" s="7"/>
      <c r="AC218" s="7"/>
      <c r="AD218" s="7"/>
      <c r="AE218" s="7"/>
      <c r="AF218" s="7" t="s">
        <v>3150</v>
      </c>
      <c r="AG218" s="7"/>
      <c r="AH218" s="7"/>
      <c r="AI218" s="7"/>
    </row>
    <row r="219" customFormat="false" ht="15.75" hidden="false" customHeight="true" outlineLevel="0" collapsed="false">
      <c r="A219" s="7"/>
      <c r="B219" s="7"/>
      <c r="C219" s="7"/>
      <c r="D219" s="7"/>
      <c r="E219" s="7" t="s">
        <v>3151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 t="s">
        <v>3152</v>
      </c>
      <c r="R219" s="7"/>
      <c r="S219" s="7"/>
      <c r="T219" s="7"/>
      <c r="U219" s="7"/>
      <c r="V219" s="7" t="s">
        <v>3153</v>
      </c>
      <c r="W219" s="7"/>
      <c r="X219" s="7"/>
      <c r="Y219" s="7"/>
      <c r="Z219" s="7"/>
      <c r="AA219" s="7"/>
      <c r="AB219" s="7"/>
      <c r="AC219" s="7"/>
      <c r="AD219" s="7"/>
      <c r="AE219" s="7"/>
      <c r="AF219" s="7" t="s">
        <v>3154</v>
      </c>
      <c r="AG219" s="7"/>
      <c r="AH219" s="7"/>
      <c r="AI219" s="7"/>
    </row>
    <row r="220" customFormat="false" ht="15.75" hidden="false" customHeight="true" outlineLevel="0" collapsed="false">
      <c r="A220" s="7"/>
      <c r="B220" s="7"/>
      <c r="C220" s="7"/>
      <c r="D220" s="7"/>
      <c r="E220" s="7" t="s">
        <v>3155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 t="s">
        <v>3156</v>
      </c>
      <c r="R220" s="7"/>
      <c r="S220" s="7"/>
      <c r="T220" s="7"/>
      <c r="U220" s="7"/>
      <c r="V220" s="7" t="s">
        <v>3157</v>
      </c>
      <c r="W220" s="7"/>
      <c r="X220" s="7"/>
      <c r="Y220" s="7"/>
      <c r="Z220" s="7"/>
      <c r="AA220" s="7"/>
      <c r="AB220" s="7"/>
      <c r="AC220" s="7"/>
      <c r="AD220" s="7"/>
      <c r="AE220" s="7"/>
      <c r="AF220" s="7" t="s">
        <v>3158</v>
      </c>
      <c r="AG220" s="7"/>
      <c r="AH220" s="7"/>
      <c r="AI220" s="7"/>
    </row>
    <row r="221" customFormat="false" ht="15.75" hidden="false" customHeight="true" outlineLevel="0" collapsed="false">
      <c r="A221" s="7"/>
      <c r="B221" s="7"/>
      <c r="C221" s="7"/>
      <c r="D221" s="7"/>
      <c r="E221" s="7" t="s">
        <v>3159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 t="s">
        <v>3160</v>
      </c>
      <c r="R221" s="7"/>
      <c r="S221" s="7"/>
      <c r="T221" s="7"/>
      <c r="U221" s="7"/>
      <c r="V221" s="7" t="s">
        <v>3161</v>
      </c>
      <c r="W221" s="7"/>
      <c r="X221" s="7"/>
      <c r="Y221" s="7"/>
      <c r="Z221" s="7"/>
      <c r="AA221" s="7"/>
      <c r="AB221" s="7"/>
      <c r="AC221" s="7"/>
      <c r="AD221" s="7"/>
      <c r="AE221" s="7"/>
      <c r="AF221" s="7" t="s">
        <v>3162</v>
      </c>
      <c r="AG221" s="7"/>
      <c r="AH221" s="7"/>
      <c r="AI221" s="7"/>
    </row>
    <row r="222" customFormat="false" ht="15.75" hidden="false" customHeight="true" outlineLevel="0" collapsed="false">
      <c r="A222" s="7"/>
      <c r="B222" s="7"/>
      <c r="C222" s="7"/>
      <c r="D222" s="7"/>
      <c r="E222" s="7" t="s">
        <v>3163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 t="s">
        <v>3164</v>
      </c>
      <c r="R222" s="7"/>
      <c r="S222" s="7"/>
      <c r="T222" s="7"/>
      <c r="U222" s="7"/>
      <c r="V222" s="7" t="s">
        <v>3165</v>
      </c>
      <c r="W222" s="7"/>
      <c r="X222" s="7"/>
      <c r="Y222" s="7"/>
      <c r="Z222" s="7"/>
      <c r="AA222" s="7"/>
      <c r="AB222" s="7"/>
      <c r="AC222" s="7"/>
      <c r="AD222" s="7"/>
      <c r="AE222" s="7"/>
      <c r="AF222" s="7" t="s">
        <v>3166</v>
      </c>
      <c r="AG222" s="7"/>
      <c r="AH222" s="7"/>
      <c r="AI222" s="7"/>
    </row>
    <row r="223" customFormat="false" ht="15.75" hidden="false" customHeight="true" outlineLevel="0" collapsed="false">
      <c r="A223" s="7"/>
      <c r="B223" s="7"/>
      <c r="C223" s="7"/>
      <c r="D223" s="7"/>
      <c r="E223" s="7" t="s">
        <v>3167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 t="s">
        <v>3168</v>
      </c>
      <c r="R223" s="7"/>
      <c r="S223" s="7"/>
      <c r="T223" s="7"/>
      <c r="U223" s="7"/>
      <c r="V223" s="7" t="s">
        <v>3169</v>
      </c>
      <c r="W223" s="7"/>
      <c r="X223" s="7"/>
      <c r="Y223" s="7"/>
      <c r="Z223" s="7"/>
      <c r="AA223" s="7"/>
      <c r="AB223" s="7"/>
      <c r="AC223" s="7"/>
      <c r="AD223" s="7"/>
      <c r="AE223" s="7"/>
      <c r="AF223" s="7" t="s">
        <v>3170</v>
      </c>
      <c r="AG223" s="7"/>
      <c r="AH223" s="7"/>
      <c r="AI223" s="7"/>
    </row>
    <row r="224" customFormat="false" ht="15.75" hidden="false" customHeight="true" outlineLevel="0" collapsed="false">
      <c r="A224" s="7"/>
      <c r="B224" s="7"/>
      <c r="C224" s="7"/>
      <c r="D224" s="7"/>
      <c r="E224" s="7" t="s">
        <v>3171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 t="s">
        <v>3172</v>
      </c>
      <c r="R224" s="7"/>
      <c r="S224" s="7"/>
      <c r="T224" s="7"/>
      <c r="U224" s="7"/>
      <c r="V224" s="7" t="s">
        <v>3173</v>
      </c>
      <c r="W224" s="7"/>
      <c r="X224" s="7"/>
      <c r="Y224" s="7"/>
      <c r="Z224" s="7"/>
      <c r="AA224" s="7"/>
      <c r="AB224" s="7"/>
      <c r="AC224" s="7"/>
      <c r="AD224" s="7"/>
      <c r="AE224" s="7"/>
      <c r="AF224" s="7" t="s">
        <v>3174</v>
      </c>
      <c r="AG224" s="7"/>
      <c r="AH224" s="7"/>
      <c r="AI224" s="7"/>
    </row>
    <row r="225" customFormat="false" ht="15.75" hidden="false" customHeight="true" outlineLevel="0" collapsed="false">
      <c r="A225" s="7"/>
      <c r="B225" s="7"/>
      <c r="C225" s="7"/>
      <c r="D225" s="7"/>
      <c r="E225" s="7" t="s">
        <v>3175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 t="s">
        <v>3176</v>
      </c>
      <c r="R225" s="7"/>
      <c r="S225" s="7"/>
      <c r="T225" s="7"/>
      <c r="U225" s="7"/>
      <c r="V225" s="7" t="s">
        <v>3177</v>
      </c>
      <c r="W225" s="7"/>
      <c r="X225" s="7"/>
      <c r="Y225" s="7"/>
      <c r="Z225" s="7"/>
      <c r="AA225" s="7"/>
      <c r="AB225" s="7"/>
      <c r="AC225" s="7"/>
      <c r="AD225" s="7"/>
      <c r="AE225" s="7"/>
      <c r="AF225" s="7" t="s">
        <v>3178</v>
      </c>
      <c r="AG225" s="7"/>
      <c r="AH225" s="7"/>
      <c r="AI225" s="7"/>
    </row>
    <row r="226" customFormat="false" ht="15.75" hidden="false" customHeight="true" outlineLevel="0" collapsed="false">
      <c r="A226" s="7"/>
      <c r="B226" s="7"/>
      <c r="C226" s="7"/>
      <c r="D226" s="7"/>
      <c r="E226" s="7" t="s">
        <v>3179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 t="s">
        <v>3180</v>
      </c>
      <c r="R226" s="7"/>
      <c r="S226" s="7"/>
      <c r="T226" s="7"/>
      <c r="U226" s="7"/>
      <c r="V226" s="7" t="s">
        <v>3181</v>
      </c>
      <c r="W226" s="7"/>
      <c r="X226" s="7"/>
      <c r="Y226" s="7"/>
      <c r="Z226" s="7"/>
      <c r="AA226" s="7"/>
      <c r="AB226" s="7"/>
      <c r="AC226" s="7"/>
      <c r="AD226" s="7"/>
      <c r="AE226" s="7"/>
      <c r="AF226" s="7" t="s">
        <v>3182</v>
      </c>
      <c r="AG226" s="7"/>
      <c r="AH226" s="7"/>
      <c r="AI226" s="7"/>
    </row>
    <row r="227" customFormat="false" ht="15.75" hidden="false" customHeight="true" outlineLevel="0" collapsed="false">
      <c r="A227" s="7"/>
      <c r="B227" s="7"/>
      <c r="C227" s="7"/>
      <c r="D227" s="7"/>
      <c r="E227" s="7" t="s">
        <v>3183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 t="s">
        <v>3184</v>
      </c>
      <c r="R227" s="7"/>
      <c r="S227" s="7"/>
      <c r="T227" s="7"/>
      <c r="U227" s="7"/>
      <c r="V227" s="7" t="s">
        <v>3185</v>
      </c>
      <c r="W227" s="7"/>
      <c r="X227" s="7"/>
      <c r="Y227" s="7"/>
      <c r="Z227" s="7"/>
      <c r="AA227" s="7"/>
      <c r="AB227" s="7"/>
      <c r="AC227" s="7"/>
      <c r="AD227" s="7"/>
      <c r="AE227" s="7"/>
      <c r="AF227" s="7" t="s">
        <v>3186</v>
      </c>
      <c r="AG227" s="7"/>
      <c r="AH227" s="7"/>
      <c r="AI227" s="7"/>
    </row>
    <row r="228" customFormat="false" ht="15.75" hidden="false" customHeight="true" outlineLevel="0" collapsed="false">
      <c r="A228" s="7"/>
      <c r="B228" s="7"/>
      <c r="C228" s="7"/>
      <c r="D228" s="7"/>
      <c r="E228" s="7" t="s">
        <v>3187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 t="s">
        <v>3188</v>
      </c>
      <c r="R228" s="7"/>
      <c r="S228" s="7"/>
      <c r="T228" s="7"/>
      <c r="U228" s="7"/>
      <c r="V228" s="7" t="s">
        <v>3189</v>
      </c>
      <c r="W228" s="7"/>
      <c r="X228" s="7"/>
      <c r="Y228" s="7"/>
      <c r="Z228" s="7"/>
      <c r="AA228" s="7"/>
      <c r="AB228" s="7"/>
      <c r="AC228" s="7"/>
      <c r="AD228" s="7"/>
      <c r="AE228" s="7"/>
      <c r="AF228" s="7" t="s">
        <v>3190</v>
      </c>
      <c r="AG228" s="7"/>
      <c r="AH228" s="7"/>
      <c r="AI228" s="7"/>
    </row>
    <row r="229" customFormat="false" ht="15.75" hidden="false" customHeight="true" outlineLevel="0" collapsed="false">
      <c r="A229" s="7"/>
      <c r="B229" s="7"/>
      <c r="C229" s="7"/>
      <c r="D229" s="7"/>
      <c r="E229" s="7" t="s">
        <v>3191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 t="s">
        <v>3192</v>
      </c>
      <c r="R229" s="7"/>
      <c r="S229" s="7"/>
      <c r="T229" s="7"/>
      <c r="U229" s="7"/>
      <c r="V229" s="7" t="s">
        <v>3193</v>
      </c>
      <c r="W229" s="7"/>
      <c r="X229" s="7"/>
      <c r="Y229" s="7"/>
      <c r="Z229" s="7"/>
      <c r="AA229" s="7"/>
      <c r="AB229" s="7"/>
      <c r="AC229" s="7"/>
      <c r="AD229" s="7"/>
      <c r="AE229" s="7"/>
      <c r="AF229" s="7" t="s">
        <v>3194</v>
      </c>
      <c r="AG229" s="7"/>
      <c r="AH229" s="7"/>
      <c r="AI229" s="7"/>
    </row>
    <row r="230" customFormat="false" ht="15.75" hidden="false" customHeight="true" outlineLevel="0" collapsed="false">
      <c r="A230" s="7"/>
      <c r="B230" s="7"/>
      <c r="C230" s="7"/>
      <c r="D230" s="7"/>
      <c r="E230" s="7" t="s">
        <v>3195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 t="s">
        <v>3196</v>
      </c>
      <c r="R230" s="7"/>
      <c r="S230" s="7"/>
      <c r="T230" s="7"/>
      <c r="U230" s="7"/>
      <c r="V230" s="7" t="s">
        <v>3197</v>
      </c>
      <c r="W230" s="7"/>
      <c r="X230" s="7"/>
      <c r="Y230" s="7"/>
      <c r="Z230" s="7"/>
      <c r="AA230" s="7"/>
      <c r="AB230" s="7"/>
      <c r="AC230" s="7"/>
      <c r="AD230" s="7"/>
      <c r="AE230" s="7"/>
      <c r="AF230" s="7" t="s">
        <v>3198</v>
      </c>
      <c r="AG230" s="7"/>
      <c r="AH230" s="7"/>
      <c r="AI230" s="7"/>
    </row>
    <row r="231" customFormat="false" ht="15.75" hidden="false" customHeight="true" outlineLevel="0" collapsed="false">
      <c r="A231" s="7"/>
      <c r="B231" s="7"/>
      <c r="C231" s="7"/>
      <c r="D231" s="7"/>
      <c r="E231" s="7" t="s">
        <v>3199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 t="s">
        <v>3200</v>
      </c>
      <c r="R231" s="7"/>
      <c r="S231" s="7"/>
      <c r="T231" s="7"/>
      <c r="U231" s="7"/>
      <c r="V231" s="7" t="s">
        <v>3201</v>
      </c>
      <c r="W231" s="7"/>
      <c r="X231" s="7"/>
      <c r="Y231" s="7"/>
      <c r="Z231" s="7"/>
      <c r="AA231" s="7"/>
      <c r="AB231" s="7"/>
      <c r="AC231" s="7"/>
      <c r="AD231" s="7"/>
      <c r="AE231" s="7"/>
      <c r="AF231" s="7" t="s">
        <v>3202</v>
      </c>
      <c r="AG231" s="7"/>
      <c r="AH231" s="7"/>
      <c r="AI231" s="7"/>
    </row>
    <row r="232" customFormat="false" ht="15.75" hidden="false" customHeight="true" outlineLevel="0" collapsed="false">
      <c r="A232" s="7"/>
      <c r="B232" s="7"/>
      <c r="C232" s="7"/>
      <c r="D232" s="7"/>
      <c r="E232" s="7" t="s">
        <v>3203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 t="s">
        <v>3204</v>
      </c>
      <c r="R232" s="7"/>
      <c r="S232" s="7"/>
      <c r="T232" s="7"/>
      <c r="U232" s="7"/>
      <c r="V232" s="7" t="s">
        <v>3205</v>
      </c>
      <c r="W232" s="7"/>
      <c r="X232" s="7"/>
      <c r="Y232" s="7"/>
      <c r="Z232" s="7"/>
      <c r="AA232" s="7"/>
      <c r="AB232" s="7"/>
      <c r="AC232" s="7"/>
      <c r="AD232" s="7"/>
      <c r="AE232" s="7"/>
      <c r="AF232" s="7" t="s">
        <v>3206</v>
      </c>
      <c r="AG232" s="7"/>
      <c r="AH232" s="7"/>
      <c r="AI232" s="7"/>
    </row>
    <row r="233" customFormat="false" ht="15.75" hidden="false" customHeight="true" outlineLevel="0" collapsed="false">
      <c r="A233" s="7"/>
      <c r="B233" s="7"/>
      <c r="C233" s="7"/>
      <c r="D233" s="7"/>
      <c r="E233" s="7" t="s">
        <v>3207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 t="s">
        <v>3208</v>
      </c>
      <c r="R233" s="7"/>
      <c r="S233" s="7"/>
      <c r="T233" s="7"/>
      <c r="U233" s="7"/>
      <c r="V233" s="7" t="s">
        <v>3209</v>
      </c>
      <c r="W233" s="7"/>
      <c r="X233" s="7"/>
      <c r="Y233" s="7"/>
      <c r="Z233" s="7"/>
      <c r="AA233" s="7"/>
      <c r="AB233" s="7"/>
      <c r="AC233" s="7"/>
      <c r="AD233" s="7"/>
      <c r="AE233" s="7"/>
      <c r="AF233" s="7" t="s">
        <v>3210</v>
      </c>
      <c r="AG233" s="7"/>
      <c r="AH233" s="7"/>
      <c r="AI233" s="7"/>
    </row>
    <row r="234" customFormat="false" ht="15.75" hidden="false" customHeight="true" outlineLevel="0" collapsed="false">
      <c r="A234" s="7"/>
      <c r="B234" s="7"/>
      <c r="C234" s="7"/>
      <c r="D234" s="7"/>
      <c r="E234" s="7" t="s">
        <v>3211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 t="s">
        <v>3212</v>
      </c>
      <c r="R234" s="7"/>
      <c r="S234" s="7"/>
      <c r="T234" s="7"/>
      <c r="U234" s="7"/>
      <c r="V234" s="7" t="s">
        <v>3213</v>
      </c>
      <c r="W234" s="7"/>
      <c r="X234" s="7"/>
      <c r="Y234" s="7"/>
      <c r="Z234" s="7"/>
      <c r="AA234" s="7"/>
      <c r="AB234" s="7"/>
      <c r="AC234" s="7"/>
      <c r="AD234" s="7"/>
      <c r="AE234" s="7"/>
      <c r="AF234" s="7" t="s">
        <v>3214</v>
      </c>
      <c r="AG234" s="7"/>
      <c r="AH234" s="7"/>
      <c r="AI234" s="7"/>
    </row>
    <row r="235" customFormat="false" ht="15.75" hidden="false" customHeight="true" outlineLevel="0" collapsed="false">
      <c r="A235" s="7"/>
      <c r="B235" s="7"/>
      <c r="C235" s="7"/>
      <c r="D235" s="7"/>
      <c r="E235" s="7" t="s">
        <v>3215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 t="s">
        <v>3216</v>
      </c>
      <c r="R235" s="7"/>
      <c r="S235" s="7"/>
      <c r="T235" s="7"/>
      <c r="U235" s="7"/>
      <c r="V235" s="7" t="s">
        <v>3217</v>
      </c>
      <c r="W235" s="7"/>
      <c r="X235" s="7"/>
      <c r="Y235" s="7"/>
      <c r="Z235" s="7"/>
      <c r="AA235" s="7"/>
      <c r="AB235" s="7"/>
      <c r="AC235" s="7"/>
      <c r="AD235" s="7"/>
      <c r="AE235" s="7"/>
      <c r="AF235" s="7" t="s">
        <v>3218</v>
      </c>
      <c r="AG235" s="7"/>
      <c r="AH235" s="7"/>
      <c r="AI235" s="7"/>
    </row>
    <row r="236" customFormat="false" ht="15.75" hidden="false" customHeight="true" outlineLevel="0" collapsed="false">
      <c r="A236" s="7"/>
      <c r="B236" s="7"/>
      <c r="C236" s="7"/>
      <c r="D236" s="7"/>
      <c r="E236" s="7" t="s">
        <v>3219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 t="s">
        <v>3220</v>
      </c>
      <c r="R236" s="7"/>
      <c r="S236" s="7"/>
      <c r="T236" s="7"/>
      <c r="U236" s="7"/>
      <c r="V236" s="7" t="s">
        <v>3221</v>
      </c>
      <c r="W236" s="7"/>
      <c r="X236" s="7"/>
      <c r="Y236" s="7"/>
      <c r="Z236" s="7"/>
      <c r="AA236" s="7"/>
      <c r="AB236" s="7"/>
      <c r="AC236" s="7"/>
      <c r="AD236" s="7"/>
      <c r="AE236" s="7"/>
      <c r="AF236" s="7" t="s">
        <v>3222</v>
      </c>
      <c r="AG236" s="7"/>
      <c r="AH236" s="7"/>
      <c r="AI236" s="7"/>
    </row>
    <row r="237" customFormat="false" ht="15.75" hidden="false" customHeight="true" outlineLevel="0" collapsed="false">
      <c r="A237" s="7"/>
      <c r="B237" s="7"/>
      <c r="C237" s="7"/>
      <c r="D237" s="7"/>
      <c r="E237" s="7" t="s">
        <v>3223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 t="s">
        <v>3224</v>
      </c>
      <c r="R237" s="7"/>
      <c r="S237" s="7"/>
      <c r="T237" s="7"/>
      <c r="U237" s="7"/>
      <c r="V237" s="7" t="s">
        <v>3225</v>
      </c>
      <c r="W237" s="7"/>
      <c r="X237" s="7"/>
      <c r="Y237" s="7"/>
      <c r="Z237" s="7"/>
      <c r="AA237" s="7"/>
      <c r="AB237" s="7"/>
      <c r="AC237" s="7"/>
      <c r="AD237" s="7"/>
      <c r="AE237" s="7"/>
      <c r="AF237" s="7" t="s">
        <v>3226</v>
      </c>
      <c r="AG237" s="7"/>
      <c r="AH237" s="7"/>
      <c r="AI237" s="7"/>
    </row>
    <row r="238" customFormat="false" ht="15.75" hidden="false" customHeight="true" outlineLevel="0" collapsed="false">
      <c r="A238" s="7"/>
      <c r="B238" s="7"/>
      <c r="C238" s="7"/>
      <c r="D238" s="7"/>
      <c r="E238" s="7" t="s">
        <v>3227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 t="s">
        <v>3228</v>
      </c>
      <c r="R238" s="7"/>
      <c r="S238" s="7"/>
      <c r="T238" s="7"/>
      <c r="U238" s="7"/>
      <c r="V238" s="7" t="s">
        <v>3229</v>
      </c>
      <c r="W238" s="7"/>
      <c r="X238" s="7"/>
      <c r="Y238" s="7"/>
      <c r="Z238" s="7"/>
      <c r="AA238" s="7"/>
      <c r="AB238" s="7"/>
      <c r="AC238" s="7"/>
      <c r="AD238" s="7"/>
      <c r="AE238" s="7"/>
      <c r="AF238" s="7" t="s">
        <v>3230</v>
      </c>
      <c r="AG238" s="7"/>
      <c r="AH238" s="7"/>
      <c r="AI238" s="7"/>
    </row>
    <row r="239" customFormat="false" ht="15.75" hidden="false" customHeight="true" outlineLevel="0" collapsed="false">
      <c r="A239" s="7"/>
      <c r="B239" s="7"/>
      <c r="C239" s="7"/>
      <c r="D239" s="7"/>
      <c r="E239" s="7" t="s">
        <v>3231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 t="s">
        <v>3232</v>
      </c>
      <c r="R239" s="7"/>
      <c r="S239" s="7"/>
      <c r="T239" s="7"/>
      <c r="U239" s="7"/>
      <c r="V239" s="7" t="s">
        <v>3233</v>
      </c>
      <c r="W239" s="7"/>
      <c r="X239" s="7"/>
      <c r="Y239" s="7"/>
      <c r="Z239" s="7"/>
      <c r="AA239" s="7"/>
      <c r="AB239" s="7"/>
      <c r="AC239" s="7"/>
      <c r="AD239" s="7"/>
      <c r="AE239" s="7"/>
      <c r="AF239" s="7" t="s">
        <v>3234</v>
      </c>
      <c r="AG239" s="7"/>
      <c r="AH239" s="7"/>
      <c r="AI239" s="7"/>
    </row>
    <row r="240" customFormat="false" ht="15.75" hidden="false" customHeight="true" outlineLevel="0" collapsed="false">
      <c r="A240" s="7"/>
      <c r="B240" s="7"/>
      <c r="C240" s="7"/>
      <c r="D240" s="7"/>
      <c r="E240" s="7" t="s">
        <v>3235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 t="s">
        <v>3236</v>
      </c>
      <c r="R240" s="7"/>
      <c r="S240" s="7"/>
      <c r="T240" s="7"/>
      <c r="U240" s="7"/>
      <c r="V240" s="7" t="s">
        <v>3237</v>
      </c>
      <c r="W240" s="7"/>
      <c r="X240" s="7"/>
      <c r="Y240" s="7"/>
      <c r="Z240" s="7"/>
      <c r="AA240" s="7"/>
      <c r="AB240" s="7"/>
      <c r="AC240" s="7"/>
      <c r="AD240" s="7"/>
      <c r="AE240" s="7"/>
      <c r="AF240" s="7" t="s">
        <v>3238</v>
      </c>
      <c r="AG240" s="7"/>
      <c r="AH240" s="7"/>
      <c r="AI240" s="7"/>
    </row>
    <row r="241" customFormat="false" ht="15.75" hidden="false" customHeight="true" outlineLevel="0" collapsed="false">
      <c r="A241" s="7"/>
      <c r="B241" s="7"/>
      <c r="C241" s="7"/>
      <c r="D241" s="7"/>
      <c r="E241" s="7" t="s">
        <v>3239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 t="s">
        <v>3240</v>
      </c>
      <c r="R241" s="7"/>
      <c r="S241" s="7"/>
      <c r="T241" s="7"/>
      <c r="U241" s="7"/>
      <c r="V241" s="7" t="s">
        <v>3241</v>
      </c>
      <c r="W241" s="7"/>
      <c r="X241" s="7"/>
      <c r="Y241" s="7"/>
      <c r="Z241" s="7"/>
      <c r="AA241" s="7"/>
      <c r="AB241" s="7"/>
      <c r="AC241" s="7"/>
      <c r="AD241" s="7"/>
      <c r="AE241" s="7"/>
      <c r="AF241" s="7" t="s">
        <v>3242</v>
      </c>
      <c r="AG241" s="7"/>
      <c r="AH241" s="7"/>
      <c r="AI241" s="7"/>
    </row>
    <row r="242" customFormat="false" ht="15.75" hidden="false" customHeight="true" outlineLevel="0" collapsed="false">
      <c r="A242" s="7"/>
      <c r="B242" s="7"/>
      <c r="C242" s="7"/>
      <c r="D242" s="7"/>
      <c r="E242" s="7" t="s">
        <v>3243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 t="s">
        <v>3244</v>
      </c>
      <c r="R242" s="7"/>
      <c r="S242" s="7"/>
      <c r="T242" s="7"/>
      <c r="U242" s="7"/>
      <c r="V242" s="7" t="s">
        <v>3245</v>
      </c>
      <c r="W242" s="7"/>
      <c r="X242" s="7"/>
      <c r="Y242" s="7"/>
      <c r="Z242" s="7"/>
      <c r="AA242" s="7"/>
      <c r="AB242" s="7"/>
      <c r="AC242" s="7"/>
      <c r="AD242" s="7"/>
      <c r="AE242" s="7"/>
      <c r="AF242" s="7" t="s">
        <v>3246</v>
      </c>
      <c r="AG242" s="7"/>
      <c r="AH242" s="7"/>
      <c r="AI242" s="7"/>
    </row>
    <row r="243" customFormat="false" ht="15.75" hidden="false" customHeight="true" outlineLevel="0" collapsed="false">
      <c r="A243" s="7"/>
      <c r="B243" s="7"/>
      <c r="C243" s="7"/>
      <c r="D243" s="7"/>
      <c r="E243" s="7" t="s">
        <v>3247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 t="s">
        <v>3248</v>
      </c>
      <c r="R243" s="7"/>
      <c r="S243" s="7"/>
      <c r="T243" s="7"/>
      <c r="U243" s="7"/>
      <c r="V243" s="7" t="s">
        <v>3249</v>
      </c>
      <c r="W243" s="7"/>
      <c r="X243" s="7"/>
      <c r="Y243" s="7"/>
      <c r="Z243" s="7"/>
      <c r="AA243" s="7"/>
      <c r="AB243" s="7"/>
      <c r="AC243" s="7"/>
      <c r="AD243" s="7"/>
      <c r="AE243" s="7"/>
      <c r="AF243" s="7" t="s">
        <v>3250</v>
      </c>
      <c r="AG243" s="7"/>
      <c r="AH243" s="7"/>
      <c r="AI243" s="7"/>
    </row>
    <row r="244" customFormat="false" ht="15.75" hidden="false" customHeight="true" outlineLevel="0" collapsed="false">
      <c r="A244" s="7"/>
      <c r="B244" s="7"/>
      <c r="C244" s="7"/>
      <c r="D244" s="7"/>
      <c r="E244" s="7" t="s">
        <v>3251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 t="s">
        <v>3252</v>
      </c>
      <c r="R244" s="7"/>
      <c r="S244" s="7"/>
      <c r="T244" s="7"/>
      <c r="U244" s="7"/>
      <c r="V244" s="7" t="s">
        <v>3253</v>
      </c>
      <c r="W244" s="7"/>
      <c r="X244" s="7"/>
      <c r="Y244" s="7"/>
      <c r="Z244" s="7"/>
      <c r="AA244" s="7"/>
      <c r="AB244" s="7"/>
      <c r="AC244" s="7"/>
      <c r="AD244" s="7"/>
      <c r="AE244" s="7"/>
      <c r="AF244" s="7" t="s">
        <v>3254</v>
      </c>
      <c r="AG244" s="7"/>
      <c r="AH244" s="7"/>
      <c r="AI244" s="7"/>
    </row>
    <row r="245" customFormat="false" ht="15.75" hidden="false" customHeight="true" outlineLevel="0" collapsed="false">
      <c r="A245" s="7"/>
      <c r="B245" s="7"/>
      <c r="C245" s="7"/>
      <c r="D245" s="7"/>
      <c r="E245" s="7" t="s">
        <v>3255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 t="s">
        <v>3256</v>
      </c>
      <c r="R245" s="7"/>
      <c r="S245" s="7"/>
      <c r="T245" s="7"/>
      <c r="U245" s="7"/>
      <c r="V245" s="7" t="s">
        <v>3257</v>
      </c>
      <c r="W245" s="7"/>
      <c r="X245" s="7"/>
      <c r="Y245" s="7"/>
      <c r="Z245" s="7"/>
      <c r="AA245" s="7"/>
      <c r="AB245" s="7"/>
      <c r="AC245" s="7"/>
      <c r="AD245" s="7"/>
      <c r="AE245" s="7"/>
      <c r="AF245" s="7" t="s">
        <v>3258</v>
      </c>
      <c r="AG245" s="7"/>
      <c r="AH245" s="7"/>
      <c r="AI245" s="7"/>
    </row>
    <row r="246" customFormat="false" ht="15.75" hidden="false" customHeight="true" outlineLevel="0" collapsed="false">
      <c r="A246" s="7"/>
      <c r="B246" s="7"/>
      <c r="C246" s="7"/>
      <c r="D246" s="7"/>
      <c r="E246" s="7" t="s">
        <v>3259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 t="s">
        <v>3260</v>
      </c>
      <c r="R246" s="7"/>
      <c r="S246" s="7"/>
      <c r="T246" s="7"/>
      <c r="U246" s="7"/>
      <c r="V246" s="7" t="s">
        <v>3261</v>
      </c>
      <c r="W246" s="7"/>
      <c r="X246" s="7"/>
      <c r="Y246" s="7"/>
      <c r="Z246" s="7"/>
      <c r="AA246" s="7"/>
      <c r="AB246" s="7"/>
      <c r="AC246" s="7"/>
      <c r="AD246" s="7"/>
      <c r="AE246" s="7"/>
      <c r="AF246" s="7" t="s">
        <v>3262</v>
      </c>
      <c r="AG246" s="7"/>
      <c r="AH246" s="7"/>
      <c r="AI246" s="7"/>
    </row>
    <row r="247" customFormat="false" ht="15.75" hidden="false" customHeight="true" outlineLevel="0" collapsed="false">
      <c r="A247" s="7"/>
      <c r="B247" s="7"/>
      <c r="C247" s="7"/>
      <c r="D247" s="7"/>
      <c r="E247" s="7" t="s">
        <v>3263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 t="s">
        <v>3264</v>
      </c>
      <c r="R247" s="7"/>
      <c r="S247" s="7"/>
      <c r="T247" s="7"/>
      <c r="U247" s="7"/>
      <c r="V247" s="7" t="s">
        <v>3265</v>
      </c>
      <c r="W247" s="7"/>
      <c r="X247" s="7"/>
      <c r="Y247" s="7"/>
      <c r="Z247" s="7"/>
      <c r="AA247" s="7"/>
      <c r="AB247" s="7"/>
      <c r="AC247" s="7"/>
      <c r="AD247" s="7"/>
      <c r="AE247" s="7"/>
      <c r="AF247" s="7" t="s">
        <v>3266</v>
      </c>
      <c r="AG247" s="7"/>
      <c r="AH247" s="7"/>
      <c r="AI247" s="7"/>
    </row>
    <row r="248" customFormat="false" ht="15.75" hidden="false" customHeight="true" outlineLevel="0" collapsed="false">
      <c r="A248" s="7"/>
      <c r="B248" s="7"/>
      <c r="C248" s="7"/>
      <c r="D248" s="7"/>
      <c r="E248" s="7" t="s">
        <v>3267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 t="s">
        <v>3268</v>
      </c>
      <c r="R248" s="7"/>
      <c r="S248" s="7"/>
      <c r="T248" s="7"/>
      <c r="U248" s="7"/>
      <c r="V248" s="7" t="s">
        <v>3269</v>
      </c>
      <c r="W248" s="7"/>
      <c r="X248" s="7"/>
      <c r="Y248" s="7"/>
      <c r="Z248" s="7"/>
      <c r="AA248" s="7"/>
      <c r="AB248" s="7"/>
      <c r="AC248" s="7"/>
      <c r="AD248" s="7"/>
      <c r="AE248" s="7"/>
      <c r="AF248" s="7" t="s">
        <v>3270</v>
      </c>
      <c r="AG248" s="7"/>
      <c r="AH248" s="7"/>
      <c r="AI248" s="7"/>
    </row>
    <row r="249" customFormat="false" ht="15.75" hidden="false" customHeight="true" outlineLevel="0" collapsed="false">
      <c r="A249" s="7"/>
      <c r="B249" s="7"/>
      <c r="C249" s="7"/>
      <c r="D249" s="7"/>
      <c r="E249" s="7" t="s">
        <v>3271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 t="s">
        <v>3272</v>
      </c>
      <c r="R249" s="7"/>
      <c r="S249" s="7"/>
      <c r="T249" s="7"/>
      <c r="U249" s="7"/>
      <c r="V249" s="7" t="s">
        <v>3273</v>
      </c>
      <c r="W249" s="7"/>
      <c r="X249" s="7"/>
      <c r="Y249" s="7"/>
      <c r="Z249" s="7"/>
      <c r="AA249" s="7"/>
      <c r="AB249" s="7"/>
      <c r="AC249" s="7"/>
      <c r="AD249" s="7"/>
      <c r="AE249" s="7"/>
      <c r="AF249" s="7" t="s">
        <v>3274</v>
      </c>
      <c r="AG249" s="7"/>
      <c r="AH249" s="7"/>
      <c r="AI249" s="7"/>
    </row>
    <row r="250" customFormat="false" ht="15.75" hidden="false" customHeight="true" outlineLevel="0" collapsed="false">
      <c r="A250" s="7"/>
      <c r="B250" s="7"/>
      <c r="C250" s="7"/>
      <c r="D250" s="7"/>
      <c r="E250" s="7" t="s">
        <v>3275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 t="s">
        <v>3276</v>
      </c>
      <c r="R250" s="7"/>
      <c r="S250" s="7"/>
      <c r="T250" s="7"/>
      <c r="U250" s="7"/>
      <c r="V250" s="7" t="s">
        <v>3277</v>
      </c>
      <c r="W250" s="7"/>
      <c r="X250" s="7"/>
      <c r="Y250" s="7"/>
      <c r="Z250" s="7"/>
      <c r="AA250" s="7"/>
      <c r="AB250" s="7"/>
      <c r="AC250" s="7"/>
      <c r="AD250" s="7"/>
      <c r="AE250" s="7"/>
      <c r="AF250" s="7" t="s">
        <v>3278</v>
      </c>
      <c r="AG250" s="7"/>
      <c r="AH250" s="7"/>
      <c r="AI250" s="7"/>
    </row>
    <row r="251" customFormat="false" ht="15.75" hidden="false" customHeight="true" outlineLevel="0" collapsed="false">
      <c r="A251" s="7"/>
      <c r="B251" s="7"/>
      <c r="C251" s="7"/>
      <c r="D251" s="7"/>
      <c r="E251" s="7" t="s">
        <v>3279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 t="s">
        <v>3280</v>
      </c>
      <c r="R251" s="7"/>
      <c r="S251" s="7"/>
      <c r="T251" s="7"/>
      <c r="U251" s="7"/>
      <c r="V251" s="7" t="s">
        <v>3281</v>
      </c>
      <c r="W251" s="7"/>
      <c r="X251" s="7"/>
      <c r="Y251" s="7"/>
      <c r="Z251" s="7"/>
      <c r="AA251" s="7"/>
      <c r="AB251" s="7"/>
      <c r="AC251" s="7"/>
      <c r="AD251" s="7"/>
      <c r="AE251" s="7"/>
      <c r="AF251" s="7" t="s">
        <v>3282</v>
      </c>
      <c r="AG251" s="7"/>
      <c r="AH251" s="7"/>
      <c r="AI251" s="7"/>
    </row>
    <row r="252" customFormat="false" ht="15.75" hidden="false" customHeight="true" outlineLevel="0" collapsed="false">
      <c r="A252" s="7"/>
      <c r="B252" s="7"/>
      <c r="C252" s="7"/>
      <c r="D252" s="7"/>
      <c r="E252" s="7" t="s">
        <v>3283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 t="s">
        <v>3284</v>
      </c>
      <c r="R252" s="7"/>
      <c r="S252" s="7"/>
      <c r="T252" s="7"/>
      <c r="U252" s="7"/>
      <c r="V252" s="7" t="s">
        <v>3285</v>
      </c>
      <c r="W252" s="7"/>
      <c r="X252" s="7"/>
      <c r="Y252" s="7"/>
      <c r="Z252" s="7"/>
      <c r="AA252" s="7"/>
      <c r="AB252" s="7"/>
      <c r="AC252" s="7"/>
      <c r="AD252" s="7"/>
      <c r="AE252" s="7"/>
      <c r="AF252" s="7" t="s">
        <v>3286</v>
      </c>
      <c r="AG252" s="7"/>
      <c r="AH252" s="7"/>
      <c r="AI252" s="7"/>
    </row>
    <row r="253" customFormat="false" ht="15.75" hidden="false" customHeight="true" outlineLevel="0" collapsed="false">
      <c r="A253" s="7"/>
      <c r="B253" s="7"/>
      <c r="C253" s="7"/>
      <c r="D253" s="7"/>
      <c r="E253" s="7" t="s">
        <v>3287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 t="s">
        <v>3288</v>
      </c>
      <c r="R253" s="7"/>
      <c r="S253" s="7"/>
      <c r="T253" s="7"/>
      <c r="U253" s="7"/>
      <c r="V253" s="7" t="s">
        <v>3289</v>
      </c>
      <c r="W253" s="7"/>
      <c r="X253" s="7"/>
      <c r="Y253" s="7"/>
      <c r="Z253" s="7"/>
      <c r="AA253" s="7"/>
      <c r="AB253" s="7"/>
      <c r="AC253" s="7"/>
      <c r="AD253" s="7"/>
      <c r="AE253" s="7"/>
      <c r="AF253" s="7" t="s">
        <v>3290</v>
      </c>
      <c r="AG253" s="7"/>
      <c r="AH253" s="7"/>
      <c r="AI253" s="7"/>
    </row>
    <row r="254" customFormat="false" ht="15.75" hidden="false" customHeight="true" outlineLevel="0" collapsed="false">
      <c r="A254" s="7"/>
      <c r="B254" s="7"/>
      <c r="C254" s="7"/>
      <c r="D254" s="7"/>
      <c r="E254" s="7" t="s">
        <v>3291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 t="s">
        <v>3292</v>
      </c>
      <c r="R254" s="7"/>
      <c r="S254" s="7"/>
      <c r="T254" s="7"/>
      <c r="U254" s="7"/>
      <c r="V254" s="7" t="s">
        <v>3293</v>
      </c>
      <c r="W254" s="7"/>
      <c r="X254" s="7"/>
      <c r="Y254" s="7"/>
      <c r="Z254" s="7"/>
      <c r="AA254" s="7"/>
      <c r="AB254" s="7"/>
      <c r="AC254" s="7"/>
      <c r="AD254" s="7"/>
      <c r="AE254" s="7"/>
      <c r="AF254" s="7" t="s">
        <v>3294</v>
      </c>
      <c r="AG254" s="7"/>
      <c r="AH254" s="7"/>
      <c r="AI254" s="7"/>
    </row>
    <row r="255" customFormat="false" ht="15.75" hidden="false" customHeight="true" outlineLevel="0" collapsed="false">
      <c r="A255" s="7"/>
      <c r="B255" s="7"/>
      <c r="C255" s="7"/>
      <c r="D255" s="7"/>
      <c r="E255" s="7" t="s">
        <v>3295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 t="s">
        <v>3296</v>
      </c>
      <c r="R255" s="7"/>
      <c r="S255" s="7"/>
      <c r="T255" s="7"/>
      <c r="U255" s="7"/>
      <c r="V255" s="7" t="s">
        <v>3297</v>
      </c>
      <c r="W255" s="7"/>
      <c r="X255" s="7"/>
      <c r="Y255" s="7"/>
      <c r="Z255" s="7"/>
      <c r="AA255" s="7"/>
      <c r="AB255" s="7"/>
      <c r="AC255" s="7"/>
      <c r="AD255" s="7"/>
      <c r="AE255" s="7"/>
      <c r="AF255" s="7" t="s">
        <v>3298</v>
      </c>
      <c r="AG255" s="7"/>
      <c r="AH255" s="7"/>
      <c r="AI255" s="7"/>
    </row>
    <row r="256" customFormat="false" ht="15.75" hidden="false" customHeight="true" outlineLevel="0" collapsed="false">
      <c r="A256" s="7"/>
      <c r="B256" s="7"/>
      <c r="C256" s="7"/>
      <c r="D256" s="7"/>
      <c r="E256" s="7" t="s">
        <v>3299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 t="s">
        <v>3300</v>
      </c>
      <c r="R256" s="7"/>
      <c r="S256" s="7"/>
      <c r="T256" s="7"/>
      <c r="U256" s="7"/>
      <c r="V256" s="7" t="s">
        <v>3301</v>
      </c>
      <c r="W256" s="7"/>
      <c r="X256" s="7"/>
      <c r="Y256" s="7"/>
      <c r="Z256" s="7"/>
      <c r="AA256" s="7"/>
      <c r="AB256" s="7"/>
      <c r="AC256" s="7"/>
      <c r="AD256" s="7"/>
      <c r="AE256" s="7"/>
      <c r="AF256" s="7" t="s">
        <v>3302</v>
      </c>
      <c r="AG256" s="7"/>
      <c r="AH256" s="7"/>
      <c r="AI256" s="7"/>
    </row>
    <row r="257" customFormat="false" ht="15.75" hidden="false" customHeight="true" outlineLevel="0" collapsed="false">
      <c r="A257" s="7"/>
      <c r="B257" s="7"/>
      <c r="C257" s="7"/>
      <c r="D257" s="7"/>
      <c r="E257" s="7" t="s">
        <v>3303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 t="s">
        <v>3304</v>
      </c>
      <c r="R257" s="7"/>
      <c r="S257" s="7"/>
      <c r="T257" s="7"/>
      <c r="U257" s="7"/>
      <c r="V257" s="7" t="s">
        <v>3305</v>
      </c>
      <c r="W257" s="7"/>
      <c r="X257" s="7"/>
      <c r="Y257" s="7"/>
      <c r="Z257" s="7"/>
      <c r="AA257" s="7"/>
      <c r="AB257" s="7"/>
      <c r="AC257" s="7"/>
      <c r="AD257" s="7"/>
      <c r="AE257" s="7"/>
      <c r="AF257" s="7" t="s">
        <v>3306</v>
      </c>
      <c r="AG257" s="7"/>
      <c r="AH257" s="7"/>
      <c r="AI257" s="7"/>
    </row>
    <row r="258" customFormat="false" ht="15.75" hidden="false" customHeight="true" outlineLevel="0" collapsed="false">
      <c r="A258" s="7"/>
      <c r="B258" s="7"/>
      <c r="C258" s="7"/>
      <c r="D258" s="7"/>
      <c r="E258" s="7" t="s">
        <v>3307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 t="s">
        <v>3308</v>
      </c>
      <c r="R258" s="7"/>
      <c r="S258" s="7"/>
      <c r="T258" s="7"/>
      <c r="U258" s="7"/>
      <c r="V258" s="7" t="s">
        <v>3309</v>
      </c>
      <c r="W258" s="7"/>
      <c r="X258" s="7"/>
      <c r="Y258" s="7"/>
      <c r="Z258" s="7"/>
      <c r="AA258" s="7"/>
      <c r="AB258" s="7"/>
      <c r="AC258" s="7"/>
      <c r="AD258" s="7"/>
      <c r="AE258" s="7"/>
      <c r="AF258" s="7" t="s">
        <v>3310</v>
      </c>
      <c r="AG258" s="7"/>
      <c r="AH258" s="7"/>
      <c r="AI258" s="7"/>
    </row>
    <row r="259" customFormat="false" ht="15.75" hidden="false" customHeight="true" outlineLevel="0" collapsed="false">
      <c r="A259" s="7"/>
      <c r="B259" s="7"/>
      <c r="C259" s="7"/>
      <c r="D259" s="7"/>
      <c r="E259" s="7" t="s">
        <v>3311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 t="s">
        <v>3312</v>
      </c>
      <c r="R259" s="7"/>
      <c r="S259" s="7"/>
      <c r="T259" s="7"/>
      <c r="U259" s="7"/>
      <c r="V259" s="7" t="s">
        <v>3313</v>
      </c>
      <c r="W259" s="7"/>
      <c r="X259" s="7"/>
      <c r="Y259" s="7"/>
      <c r="Z259" s="7"/>
      <c r="AA259" s="7"/>
      <c r="AB259" s="7"/>
      <c r="AC259" s="7"/>
      <c r="AD259" s="7"/>
      <c r="AE259" s="7"/>
      <c r="AF259" s="7" t="s">
        <v>3314</v>
      </c>
      <c r="AG259" s="7"/>
      <c r="AH259" s="7"/>
      <c r="AI259" s="7"/>
    </row>
    <row r="260" customFormat="false" ht="15.75" hidden="false" customHeight="true" outlineLevel="0" collapsed="false">
      <c r="A260" s="7"/>
      <c r="B260" s="7"/>
      <c r="C260" s="7"/>
      <c r="D260" s="7"/>
      <c r="E260" s="7" t="s">
        <v>3315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 t="s">
        <v>3316</v>
      </c>
      <c r="R260" s="7"/>
      <c r="S260" s="7"/>
      <c r="T260" s="7"/>
      <c r="U260" s="7"/>
      <c r="V260" s="7" t="s">
        <v>3317</v>
      </c>
      <c r="W260" s="7"/>
      <c r="X260" s="7"/>
      <c r="Y260" s="7"/>
      <c r="Z260" s="7"/>
      <c r="AA260" s="7"/>
      <c r="AB260" s="7"/>
      <c r="AC260" s="7"/>
      <c r="AD260" s="7"/>
      <c r="AE260" s="7"/>
      <c r="AF260" s="7" t="s">
        <v>3318</v>
      </c>
      <c r="AG260" s="7"/>
      <c r="AH260" s="7"/>
      <c r="AI260" s="7"/>
    </row>
    <row r="261" customFormat="false" ht="15.75" hidden="false" customHeight="true" outlineLevel="0" collapsed="false">
      <c r="A261" s="7"/>
      <c r="B261" s="7"/>
      <c r="C261" s="7"/>
      <c r="D261" s="7"/>
      <c r="E261" s="7" t="s">
        <v>3319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 t="s">
        <v>3320</v>
      </c>
      <c r="R261" s="7"/>
      <c r="S261" s="7"/>
      <c r="T261" s="7"/>
      <c r="U261" s="7"/>
      <c r="V261" s="7" t="s">
        <v>3321</v>
      </c>
      <c r="W261" s="7"/>
      <c r="X261" s="7"/>
      <c r="Y261" s="7"/>
      <c r="Z261" s="7"/>
      <c r="AA261" s="7"/>
      <c r="AB261" s="7"/>
      <c r="AC261" s="7"/>
      <c r="AD261" s="7"/>
      <c r="AE261" s="7"/>
      <c r="AF261" s="7" t="s">
        <v>3322</v>
      </c>
      <c r="AG261" s="7"/>
      <c r="AH261" s="7"/>
      <c r="AI261" s="7"/>
    </row>
    <row r="262" customFormat="false" ht="15.75" hidden="false" customHeight="true" outlineLevel="0" collapsed="false">
      <c r="A262" s="7"/>
      <c r="B262" s="7"/>
      <c r="C262" s="7"/>
      <c r="D262" s="7"/>
      <c r="E262" s="7" t="s">
        <v>3323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 t="s">
        <v>3324</v>
      </c>
      <c r="R262" s="7"/>
      <c r="S262" s="7"/>
      <c r="T262" s="7"/>
      <c r="U262" s="7"/>
      <c r="V262" s="7" t="s">
        <v>3325</v>
      </c>
      <c r="W262" s="7"/>
      <c r="X262" s="7"/>
      <c r="Y262" s="7"/>
      <c r="Z262" s="7"/>
      <c r="AA262" s="7"/>
      <c r="AB262" s="7"/>
      <c r="AC262" s="7"/>
      <c r="AD262" s="7"/>
      <c r="AE262" s="7"/>
      <c r="AF262" s="7" t="s">
        <v>3326</v>
      </c>
      <c r="AG262" s="7"/>
      <c r="AH262" s="7"/>
      <c r="AI262" s="7"/>
    </row>
    <row r="263" customFormat="false" ht="15.75" hidden="false" customHeight="true" outlineLevel="0" collapsed="false">
      <c r="A263" s="7"/>
      <c r="B263" s="7"/>
      <c r="C263" s="7"/>
      <c r="D263" s="7"/>
      <c r="E263" s="7" t="s">
        <v>3327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 t="s">
        <v>3328</v>
      </c>
      <c r="R263" s="7"/>
      <c r="S263" s="7"/>
      <c r="T263" s="7"/>
      <c r="U263" s="7"/>
      <c r="V263" s="7" t="s">
        <v>3329</v>
      </c>
      <c r="W263" s="7"/>
      <c r="X263" s="7"/>
      <c r="Y263" s="7"/>
      <c r="Z263" s="7"/>
      <c r="AA263" s="7"/>
      <c r="AB263" s="7"/>
      <c r="AC263" s="7"/>
      <c r="AD263" s="7"/>
      <c r="AE263" s="7"/>
      <c r="AF263" s="7" t="s">
        <v>3330</v>
      </c>
      <c r="AG263" s="7"/>
      <c r="AH263" s="7"/>
      <c r="AI263" s="7"/>
    </row>
    <row r="264" customFormat="false" ht="15.75" hidden="false" customHeight="true" outlineLevel="0" collapsed="false">
      <c r="A264" s="7"/>
      <c r="B264" s="7"/>
      <c r="C264" s="7"/>
      <c r="D264" s="7"/>
      <c r="E264" s="7" t="s">
        <v>3331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 t="s">
        <v>3332</v>
      </c>
      <c r="R264" s="7"/>
      <c r="S264" s="7"/>
      <c r="T264" s="7"/>
      <c r="U264" s="7"/>
      <c r="V264" s="7" t="s">
        <v>3333</v>
      </c>
      <c r="W264" s="7"/>
      <c r="X264" s="7"/>
      <c r="Y264" s="7"/>
      <c r="Z264" s="7"/>
      <c r="AA264" s="7"/>
      <c r="AB264" s="7"/>
      <c r="AC264" s="7"/>
      <c r="AD264" s="7"/>
      <c r="AE264" s="7"/>
      <c r="AF264" s="7" t="s">
        <v>3334</v>
      </c>
      <c r="AG264" s="7"/>
      <c r="AH264" s="7"/>
      <c r="AI264" s="7"/>
    </row>
    <row r="265" customFormat="false" ht="15.75" hidden="false" customHeight="true" outlineLevel="0" collapsed="false">
      <c r="A265" s="7"/>
      <c r="B265" s="7"/>
      <c r="C265" s="7"/>
      <c r="D265" s="7"/>
      <c r="E265" s="7" t="s">
        <v>3335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 t="s">
        <v>3336</v>
      </c>
      <c r="R265" s="7"/>
      <c r="S265" s="7"/>
      <c r="T265" s="7"/>
      <c r="U265" s="7"/>
      <c r="V265" s="7" t="s">
        <v>3337</v>
      </c>
      <c r="W265" s="7"/>
      <c r="X265" s="7"/>
      <c r="Y265" s="7"/>
      <c r="Z265" s="7"/>
      <c r="AA265" s="7"/>
      <c r="AB265" s="7"/>
      <c r="AC265" s="7"/>
      <c r="AD265" s="7"/>
      <c r="AE265" s="7"/>
      <c r="AF265" s="7" t="s">
        <v>3338</v>
      </c>
      <c r="AG265" s="7"/>
      <c r="AH265" s="7"/>
      <c r="AI265" s="7"/>
    </row>
    <row r="266" customFormat="false" ht="15.75" hidden="false" customHeight="true" outlineLevel="0" collapsed="false">
      <c r="A266" s="7"/>
      <c r="B266" s="7"/>
      <c r="C266" s="7"/>
      <c r="D266" s="7"/>
      <c r="E266" s="7" t="s">
        <v>3339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 t="s">
        <v>3340</v>
      </c>
      <c r="R266" s="7"/>
      <c r="S266" s="7"/>
      <c r="T266" s="7"/>
      <c r="U266" s="7"/>
      <c r="V266" s="7" t="s">
        <v>3341</v>
      </c>
      <c r="W266" s="7"/>
      <c r="X266" s="7"/>
      <c r="Y266" s="7"/>
      <c r="Z266" s="7"/>
      <c r="AA266" s="7"/>
      <c r="AB266" s="7"/>
      <c r="AC266" s="7"/>
      <c r="AD266" s="7"/>
      <c r="AE266" s="7"/>
      <c r="AF266" s="7" t="s">
        <v>3342</v>
      </c>
      <c r="AG266" s="7"/>
      <c r="AH266" s="7"/>
      <c r="AI266" s="7"/>
    </row>
    <row r="267" customFormat="false" ht="15.75" hidden="false" customHeight="true" outlineLevel="0" collapsed="false">
      <c r="A267" s="7"/>
      <c r="B267" s="7"/>
      <c r="C267" s="7"/>
      <c r="D267" s="7"/>
      <c r="E267" s="7" t="s">
        <v>3343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 t="s">
        <v>3344</v>
      </c>
      <c r="R267" s="7"/>
      <c r="S267" s="7"/>
      <c r="T267" s="7"/>
      <c r="U267" s="7"/>
      <c r="V267" s="7" t="s">
        <v>3345</v>
      </c>
      <c r="W267" s="7"/>
      <c r="X267" s="7"/>
      <c r="Y267" s="7"/>
      <c r="Z267" s="7"/>
      <c r="AA267" s="7"/>
      <c r="AB267" s="7"/>
      <c r="AC267" s="7"/>
      <c r="AD267" s="7"/>
      <c r="AE267" s="7"/>
      <c r="AF267" s="7" t="s">
        <v>3346</v>
      </c>
      <c r="AG267" s="7"/>
      <c r="AH267" s="7"/>
      <c r="AI267" s="7"/>
    </row>
    <row r="268" customFormat="false" ht="15.75" hidden="false" customHeight="true" outlineLevel="0" collapsed="false">
      <c r="A268" s="7"/>
      <c r="B268" s="7"/>
      <c r="C268" s="7"/>
      <c r="D268" s="7"/>
      <c r="E268" s="7" t="s">
        <v>3347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 t="s">
        <v>3348</v>
      </c>
      <c r="R268" s="7"/>
      <c r="S268" s="7"/>
      <c r="T268" s="7"/>
      <c r="U268" s="7"/>
      <c r="V268" s="7" t="s">
        <v>3349</v>
      </c>
      <c r="W268" s="7"/>
      <c r="X268" s="7"/>
      <c r="Y268" s="7"/>
      <c r="Z268" s="7"/>
      <c r="AA268" s="7"/>
      <c r="AB268" s="7"/>
      <c r="AC268" s="7"/>
      <c r="AD268" s="7"/>
      <c r="AE268" s="7"/>
      <c r="AF268" s="7" t="s">
        <v>3350</v>
      </c>
      <c r="AG268" s="7"/>
      <c r="AH268" s="7"/>
      <c r="AI268" s="7"/>
    </row>
    <row r="269" customFormat="false" ht="15.75" hidden="false" customHeight="true" outlineLevel="0" collapsed="false">
      <c r="A269" s="7"/>
      <c r="B269" s="7"/>
      <c r="C269" s="7"/>
      <c r="D269" s="7"/>
      <c r="E269" s="7" t="s">
        <v>3351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 t="s">
        <v>3352</v>
      </c>
      <c r="R269" s="7"/>
      <c r="S269" s="7"/>
      <c r="T269" s="7"/>
      <c r="U269" s="7"/>
      <c r="V269" s="7" t="s">
        <v>3353</v>
      </c>
      <c r="W269" s="7"/>
      <c r="X269" s="7"/>
      <c r="Y269" s="7"/>
      <c r="Z269" s="7"/>
      <c r="AA269" s="7"/>
      <c r="AB269" s="7"/>
      <c r="AC269" s="7"/>
      <c r="AD269" s="7"/>
      <c r="AE269" s="7"/>
      <c r="AF269" s="7" t="s">
        <v>3354</v>
      </c>
      <c r="AG269" s="7"/>
      <c r="AH269" s="7"/>
      <c r="AI269" s="7"/>
    </row>
    <row r="270" customFormat="false" ht="15.75" hidden="false" customHeight="true" outlineLevel="0" collapsed="false">
      <c r="A270" s="7"/>
      <c r="B270" s="7"/>
      <c r="C270" s="7"/>
      <c r="D270" s="7"/>
      <c r="E270" s="7" t="s">
        <v>3355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 t="s">
        <v>3356</v>
      </c>
      <c r="R270" s="7"/>
      <c r="S270" s="7"/>
      <c r="T270" s="7"/>
      <c r="U270" s="7"/>
      <c r="V270" s="7" t="s">
        <v>3357</v>
      </c>
      <c r="W270" s="7"/>
      <c r="X270" s="7"/>
      <c r="Y270" s="7"/>
      <c r="Z270" s="7"/>
      <c r="AA270" s="7"/>
      <c r="AB270" s="7"/>
      <c r="AC270" s="7"/>
      <c r="AD270" s="7"/>
      <c r="AE270" s="7"/>
      <c r="AF270" s="7" t="s">
        <v>3358</v>
      </c>
      <c r="AG270" s="7"/>
      <c r="AH270" s="7"/>
      <c r="AI270" s="7"/>
    </row>
    <row r="271" customFormat="false" ht="15.75" hidden="false" customHeight="true" outlineLevel="0" collapsed="false">
      <c r="A271" s="7"/>
      <c r="B271" s="7"/>
      <c r="C271" s="7"/>
      <c r="D271" s="7"/>
      <c r="E271" s="7" t="s">
        <v>3359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 t="s">
        <v>3360</v>
      </c>
      <c r="R271" s="7"/>
      <c r="S271" s="7"/>
      <c r="T271" s="7"/>
      <c r="U271" s="7"/>
      <c r="V271" s="7" t="s">
        <v>3361</v>
      </c>
      <c r="W271" s="7"/>
      <c r="X271" s="7"/>
      <c r="Y271" s="7"/>
      <c r="Z271" s="7"/>
      <c r="AA271" s="7"/>
      <c r="AB271" s="7"/>
      <c r="AC271" s="7"/>
      <c r="AD271" s="7"/>
      <c r="AE271" s="7"/>
      <c r="AF271" s="7" t="s">
        <v>3362</v>
      </c>
      <c r="AG271" s="7"/>
      <c r="AH271" s="7"/>
      <c r="AI271" s="7"/>
    </row>
    <row r="272" customFormat="false" ht="15.75" hidden="false" customHeight="true" outlineLevel="0" collapsed="false">
      <c r="A272" s="7"/>
      <c r="B272" s="7"/>
      <c r="C272" s="7"/>
      <c r="D272" s="7"/>
      <c r="E272" s="7" t="s">
        <v>3363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 t="s">
        <v>3364</v>
      </c>
      <c r="R272" s="7"/>
      <c r="S272" s="7"/>
      <c r="T272" s="7"/>
      <c r="U272" s="7"/>
      <c r="V272" s="7" t="s">
        <v>3365</v>
      </c>
      <c r="W272" s="7"/>
      <c r="X272" s="7"/>
      <c r="Y272" s="7"/>
      <c r="Z272" s="7"/>
      <c r="AA272" s="7"/>
      <c r="AB272" s="7"/>
      <c r="AC272" s="7"/>
      <c r="AD272" s="7"/>
      <c r="AE272" s="7"/>
      <c r="AF272" s="7" t="s">
        <v>3366</v>
      </c>
      <c r="AG272" s="7"/>
      <c r="AH272" s="7"/>
      <c r="AI272" s="7"/>
    </row>
    <row r="273" customFormat="false" ht="15.75" hidden="false" customHeight="true" outlineLevel="0" collapsed="false">
      <c r="A273" s="7"/>
      <c r="B273" s="7"/>
      <c r="C273" s="7"/>
      <c r="D273" s="7"/>
      <c r="E273" s="7" t="s">
        <v>3367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 t="s">
        <v>3368</v>
      </c>
      <c r="W273" s="7"/>
      <c r="X273" s="7"/>
      <c r="Y273" s="7"/>
      <c r="Z273" s="7"/>
      <c r="AA273" s="7"/>
      <c r="AB273" s="7"/>
      <c r="AC273" s="7"/>
      <c r="AD273" s="7"/>
      <c r="AE273" s="7"/>
      <c r="AF273" s="7" t="s">
        <v>3369</v>
      </c>
      <c r="AG273" s="7"/>
      <c r="AH273" s="7"/>
      <c r="AI273" s="7"/>
    </row>
    <row r="274" customFormat="false" ht="15.75" hidden="false" customHeight="true" outlineLevel="0" collapsed="false">
      <c r="A274" s="7"/>
      <c r="B274" s="7"/>
      <c r="C274" s="7"/>
      <c r="D274" s="7"/>
      <c r="E274" s="7" t="s">
        <v>3370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 t="s">
        <v>3371</v>
      </c>
      <c r="W274" s="7"/>
      <c r="X274" s="7"/>
      <c r="Y274" s="7"/>
      <c r="Z274" s="7"/>
      <c r="AA274" s="7"/>
      <c r="AB274" s="7"/>
      <c r="AC274" s="7"/>
      <c r="AD274" s="7"/>
      <c r="AE274" s="7"/>
      <c r="AF274" s="7" t="s">
        <v>3372</v>
      </c>
      <c r="AG274" s="7"/>
      <c r="AH274" s="7"/>
      <c r="AI274" s="7"/>
    </row>
    <row r="275" customFormat="false" ht="15.75" hidden="false" customHeight="true" outlineLevel="0" collapsed="false">
      <c r="A275" s="7"/>
      <c r="B275" s="7"/>
      <c r="C275" s="7"/>
      <c r="D275" s="7"/>
      <c r="E275" s="7" t="s">
        <v>3373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 t="s">
        <v>3374</v>
      </c>
      <c r="W275" s="7"/>
      <c r="X275" s="7"/>
      <c r="Y275" s="7"/>
      <c r="Z275" s="7"/>
      <c r="AA275" s="7"/>
      <c r="AB275" s="7"/>
      <c r="AC275" s="7"/>
      <c r="AD275" s="7"/>
      <c r="AE275" s="7"/>
      <c r="AF275" s="7" t="s">
        <v>3375</v>
      </c>
      <c r="AG275" s="7"/>
      <c r="AH275" s="7"/>
      <c r="AI275" s="7"/>
    </row>
    <row r="276" customFormat="false" ht="15.75" hidden="false" customHeight="true" outlineLevel="0" collapsed="false">
      <c r="A276" s="7"/>
      <c r="B276" s="7"/>
      <c r="C276" s="7"/>
      <c r="D276" s="7"/>
      <c r="E276" s="7" t="s">
        <v>3376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 t="s">
        <v>3377</v>
      </c>
      <c r="W276" s="7"/>
      <c r="X276" s="7"/>
      <c r="Y276" s="7"/>
      <c r="Z276" s="7"/>
      <c r="AA276" s="7"/>
      <c r="AB276" s="7"/>
      <c r="AC276" s="7"/>
      <c r="AD276" s="7"/>
      <c r="AE276" s="7"/>
      <c r="AF276" s="7" t="s">
        <v>3378</v>
      </c>
      <c r="AG276" s="7"/>
      <c r="AH276" s="7"/>
      <c r="AI276" s="7"/>
    </row>
    <row r="277" customFormat="false" ht="15.75" hidden="false" customHeight="true" outlineLevel="0" collapsed="false">
      <c r="A277" s="7"/>
      <c r="B277" s="7"/>
      <c r="C277" s="7"/>
      <c r="D277" s="7"/>
      <c r="E277" s="7" t="s">
        <v>3379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 t="s">
        <v>3380</v>
      </c>
      <c r="W277" s="7"/>
      <c r="X277" s="7"/>
      <c r="Y277" s="7"/>
      <c r="Z277" s="7"/>
      <c r="AA277" s="7"/>
      <c r="AB277" s="7"/>
      <c r="AC277" s="7"/>
      <c r="AD277" s="7"/>
      <c r="AE277" s="7"/>
      <c r="AF277" s="7" t="s">
        <v>3381</v>
      </c>
      <c r="AG277" s="7"/>
      <c r="AH277" s="7"/>
      <c r="AI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 t="s">
        <v>3382</v>
      </c>
      <c r="W278" s="7"/>
      <c r="X278" s="7"/>
      <c r="Y278" s="7"/>
      <c r="Z278" s="7"/>
      <c r="AA278" s="7"/>
      <c r="AB278" s="7"/>
      <c r="AC278" s="7"/>
      <c r="AD278" s="7"/>
      <c r="AE278" s="7"/>
      <c r="AF278" s="7" t="s">
        <v>3383</v>
      </c>
      <c r="AG278" s="7"/>
      <c r="AH278" s="7"/>
      <c r="AI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 t="s">
        <v>3384</v>
      </c>
      <c r="W279" s="7"/>
      <c r="X279" s="7"/>
      <c r="Y279" s="7"/>
      <c r="Z279" s="7"/>
      <c r="AA279" s="7"/>
      <c r="AB279" s="7"/>
      <c r="AC279" s="7"/>
      <c r="AD279" s="7"/>
      <c r="AE279" s="7"/>
      <c r="AF279" s="7" t="s">
        <v>3385</v>
      </c>
      <c r="AG279" s="7"/>
      <c r="AH279" s="7"/>
      <c r="AI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 t="s">
        <v>3386</v>
      </c>
      <c r="W280" s="7"/>
      <c r="X280" s="7"/>
      <c r="Y280" s="7"/>
      <c r="Z280" s="7"/>
      <c r="AA280" s="7"/>
      <c r="AB280" s="7"/>
      <c r="AC280" s="7"/>
      <c r="AD280" s="7"/>
      <c r="AE280" s="7"/>
      <c r="AF280" s="7" t="s">
        <v>3387</v>
      </c>
      <c r="AG280" s="7"/>
      <c r="AH280" s="7"/>
      <c r="AI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 t="s">
        <v>3388</v>
      </c>
      <c r="W281" s="7"/>
      <c r="X281" s="7"/>
      <c r="Y281" s="7"/>
      <c r="Z281" s="7"/>
      <c r="AA281" s="7"/>
      <c r="AB281" s="7"/>
      <c r="AC281" s="7"/>
      <c r="AD281" s="7"/>
      <c r="AE281" s="7"/>
      <c r="AF281" s="7" t="s">
        <v>3389</v>
      </c>
      <c r="AG281" s="7"/>
      <c r="AH281" s="7"/>
      <c r="AI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 t="s">
        <v>3390</v>
      </c>
      <c r="W282" s="7"/>
      <c r="X282" s="7"/>
      <c r="Y282" s="7"/>
      <c r="Z282" s="7"/>
      <c r="AA282" s="7"/>
      <c r="AB282" s="7"/>
      <c r="AC282" s="7"/>
      <c r="AD282" s="7"/>
      <c r="AE282" s="7"/>
      <c r="AF282" s="7" t="s">
        <v>3391</v>
      </c>
      <c r="AG282" s="7"/>
      <c r="AH282" s="7"/>
      <c r="AI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 t="s">
        <v>3392</v>
      </c>
      <c r="W283" s="7"/>
      <c r="X283" s="7"/>
      <c r="Y283" s="7"/>
      <c r="Z283" s="7"/>
      <c r="AA283" s="7"/>
      <c r="AB283" s="7"/>
      <c r="AC283" s="7"/>
      <c r="AD283" s="7"/>
      <c r="AE283" s="7"/>
      <c r="AF283" s="7" t="s">
        <v>3393</v>
      </c>
      <c r="AG283" s="7"/>
      <c r="AH283" s="7"/>
      <c r="AI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 t="s">
        <v>3394</v>
      </c>
      <c r="W284" s="7"/>
      <c r="X284" s="7"/>
      <c r="Y284" s="7"/>
      <c r="Z284" s="7"/>
      <c r="AA284" s="7"/>
      <c r="AB284" s="7"/>
      <c r="AC284" s="7"/>
      <c r="AD284" s="7"/>
      <c r="AE284" s="7"/>
      <c r="AF284" s="7" t="s">
        <v>3395</v>
      </c>
      <c r="AG284" s="7"/>
      <c r="AH284" s="7"/>
      <c r="AI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 t="s">
        <v>3396</v>
      </c>
      <c r="W285" s="7"/>
      <c r="X285" s="7"/>
      <c r="Y285" s="7"/>
      <c r="Z285" s="7"/>
      <c r="AA285" s="7"/>
      <c r="AB285" s="7"/>
      <c r="AC285" s="7"/>
      <c r="AD285" s="7"/>
      <c r="AE285" s="7"/>
      <c r="AF285" s="7" t="s">
        <v>3397</v>
      </c>
      <c r="AG285" s="7"/>
      <c r="AH285" s="7"/>
      <c r="AI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 t="s">
        <v>3398</v>
      </c>
      <c r="W286" s="7"/>
      <c r="X286" s="7"/>
      <c r="Y286" s="7"/>
      <c r="Z286" s="7"/>
      <c r="AA286" s="7"/>
      <c r="AB286" s="7"/>
      <c r="AC286" s="7"/>
      <c r="AD286" s="7"/>
      <c r="AE286" s="7"/>
      <c r="AF286" s="7" t="s">
        <v>3399</v>
      </c>
      <c r="AG286" s="7"/>
      <c r="AH286" s="7"/>
      <c r="AI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 t="s">
        <v>3400</v>
      </c>
      <c r="W287" s="7"/>
      <c r="X287" s="7"/>
      <c r="Y287" s="7"/>
      <c r="Z287" s="7"/>
      <c r="AA287" s="7"/>
      <c r="AB287" s="7"/>
      <c r="AC287" s="7"/>
      <c r="AD287" s="7"/>
      <c r="AE287" s="7"/>
      <c r="AF287" s="7" t="s">
        <v>3401</v>
      </c>
      <c r="AG287" s="7"/>
      <c r="AH287" s="7"/>
      <c r="AI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 t="s">
        <v>3402</v>
      </c>
      <c r="W288" s="7"/>
      <c r="X288" s="7"/>
      <c r="Y288" s="7"/>
      <c r="Z288" s="7"/>
      <c r="AA288" s="7"/>
      <c r="AB288" s="7"/>
      <c r="AC288" s="7"/>
      <c r="AD288" s="7"/>
      <c r="AE288" s="7"/>
      <c r="AF288" s="7" t="s">
        <v>3403</v>
      </c>
      <c r="AG288" s="7"/>
      <c r="AH288" s="7"/>
      <c r="AI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 t="s">
        <v>3404</v>
      </c>
      <c r="W289" s="7"/>
      <c r="X289" s="7"/>
      <c r="Y289" s="7"/>
      <c r="Z289" s="7"/>
      <c r="AA289" s="7"/>
      <c r="AB289" s="7"/>
      <c r="AC289" s="7"/>
      <c r="AD289" s="7"/>
      <c r="AE289" s="7"/>
      <c r="AF289" s="7" t="s">
        <v>3405</v>
      </c>
      <c r="AG289" s="7"/>
      <c r="AH289" s="7"/>
      <c r="AI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 t="s">
        <v>3406</v>
      </c>
      <c r="W290" s="7"/>
      <c r="X290" s="7"/>
      <c r="Y290" s="7"/>
      <c r="Z290" s="7"/>
      <c r="AA290" s="7"/>
      <c r="AB290" s="7"/>
      <c r="AC290" s="7"/>
      <c r="AD290" s="7"/>
      <c r="AE290" s="7"/>
      <c r="AF290" s="7" t="s">
        <v>3407</v>
      </c>
      <c r="AG290" s="7"/>
      <c r="AH290" s="7"/>
      <c r="AI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 t="s">
        <v>3408</v>
      </c>
      <c r="W291" s="7"/>
      <c r="X291" s="7"/>
      <c r="Y291" s="7"/>
      <c r="Z291" s="7"/>
      <c r="AA291" s="7"/>
      <c r="AB291" s="7"/>
      <c r="AC291" s="7"/>
      <c r="AD291" s="7"/>
      <c r="AE291" s="7"/>
      <c r="AF291" s="7" t="s">
        <v>3409</v>
      </c>
      <c r="AG291" s="7"/>
      <c r="AH291" s="7"/>
      <c r="AI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 t="s">
        <v>3410</v>
      </c>
      <c r="W292" s="7"/>
      <c r="X292" s="7"/>
      <c r="Y292" s="7"/>
      <c r="Z292" s="7"/>
      <c r="AA292" s="7"/>
      <c r="AB292" s="7"/>
      <c r="AC292" s="7"/>
      <c r="AD292" s="7"/>
      <c r="AE292" s="7"/>
      <c r="AF292" s="7" t="s">
        <v>3411</v>
      </c>
      <c r="AG292" s="7"/>
      <c r="AH292" s="7"/>
      <c r="AI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 t="s">
        <v>3412</v>
      </c>
      <c r="W293" s="7"/>
      <c r="X293" s="7"/>
      <c r="Y293" s="7"/>
      <c r="Z293" s="7"/>
      <c r="AA293" s="7"/>
      <c r="AB293" s="7"/>
      <c r="AC293" s="7"/>
      <c r="AD293" s="7"/>
      <c r="AE293" s="7"/>
      <c r="AF293" s="7" t="s">
        <v>3413</v>
      </c>
      <c r="AG293" s="7"/>
      <c r="AH293" s="7"/>
      <c r="AI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 t="s">
        <v>3414</v>
      </c>
      <c r="W294" s="7"/>
      <c r="X294" s="7"/>
      <c r="Y294" s="7"/>
      <c r="Z294" s="7"/>
      <c r="AA294" s="7"/>
      <c r="AB294" s="7"/>
      <c r="AC294" s="7"/>
      <c r="AD294" s="7"/>
      <c r="AE294" s="7"/>
      <c r="AF294" s="7" t="s">
        <v>3415</v>
      </c>
      <c r="AG294" s="7"/>
      <c r="AH294" s="7"/>
      <c r="AI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 t="s">
        <v>3416</v>
      </c>
      <c r="W295" s="7"/>
      <c r="X295" s="7"/>
      <c r="Y295" s="7"/>
      <c r="Z295" s="7"/>
      <c r="AA295" s="7"/>
      <c r="AB295" s="7"/>
      <c r="AC295" s="7"/>
      <c r="AD295" s="7"/>
      <c r="AE295" s="7"/>
      <c r="AF295" s="7" t="s">
        <v>3417</v>
      </c>
      <c r="AG295" s="7"/>
      <c r="AH295" s="7"/>
      <c r="AI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 t="s">
        <v>3418</v>
      </c>
      <c r="W296" s="7"/>
      <c r="X296" s="7"/>
      <c r="Y296" s="7"/>
      <c r="Z296" s="7"/>
      <c r="AA296" s="7"/>
      <c r="AB296" s="7"/>
      <c r="AC296" s="7"/>
      <c r="AD296" s="7"/>
      <c r="AE296" s="7"/>
      <c r="AF296" s="7" t="s">
        <v>3419</v>
      </c>
      <c r="AG296" s="7"/>
      <c r="AH296" s="7"/>
      <c r="AI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 t="s">
        <v>3420</v>
      </c>
      <c r="W297" s="7"/>
      <c r="X297" s="7"/>
      <c r="Y297" s="7"/>
      <c r="Z297" s="7"/>
      <c r="AA297" s="7"/>
      <c r="AB297" s="7"/>
      <c r="AC297" s="7"/>
      <c r="AD297" s="7"/>
      <c r="AE297" s="7"/>
      <c r="AF297" s="7" t="s">
        <v>3421</v>
      </c>
      <c r="AG297" s="7"/>
      <c r="AH297" s="7"/>
      <c r="AI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 t="s">
        <v>3422</v>
      </c>
      <c r="W298" s="7"/>
      <c r="X298" s="7"/>
      <c r="Y298" s="7"/>
      <c r="Z298" s="7"/>
      <c r="AA298" s="7"/>
      <c r="AB298" s="7"/>
      <c r="AC298" s="7"/>
      <c r="AD298" s="7"/>
      <c r="AE298" s="7"/>
      <c r="AF298" s="7" t="s">
        <v>3423</v>
      </c>
      <c r="AG298" s="7"/>
      <c r="AH298" s="7"/>
      <c r="AI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 t="s">
        <v>3424</v>
      </c>
      <c r="W299" s="7"/>
      <c r="X299" s="7"/>
      <c r="Y299" s="7"/>
      <c r="Z299" s="7"/>
      <c r="AA299" s="7"/>
      <c r="AB299" s="7"/>
      <c r="AC299" s="7"/>
      <c r="AD299" s="7"/>
      <c r="AE299" s="7"/>
      <c r="AF299" s="7" t="s">
        <v>3425</v>
      </c>
      <c r="AG299" s="7"/>
      <c r="AH299" s="7"/>
      <c r="AI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 t="s">
        <v>3426</v>
      </c>
      <c r="W300" s="7"/>
      <c r="X300" s="7"/>
      <c r="Y300" s="7"/>
      <c r="Z300" s="7"/>
      <c r="AA300" s="7"/>
      <c r="AB300" s="7"/>
      <c r="AC300" s="7"/>
      <c r="AD300" s="7"/>
      <c r="AE300" s="7"/>
      <c r="AF300" s="7" t="s">
        <v>3427</v>
      </c>
      <c r="AG300" s="7"/>
      <c r="AH300" s="7"/>
      <c r="AI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 t="s">
        <v>3428</v>
      </c>
      <c r="W301" s="7"/>
      <c r="X301" s="7"/>
      <c r="Y301" s="7"/>
      <c r="Z301" s="7"/>
      <c r="AA301" s="7"/>
      <c r="AB301" s="7"/>
      <c r="AC301" s="7"/>
      <c r="AD301" s="7"/>
      <c r="AE301" s="7"/>
      <c r="AF301" s="7" t="s">
        <v>3429</v>
      </c>
      <c r="AG301" s="7"/>
      <c r="AH301" s="7"/>
      <c r="AI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 t="s">
        <v>3430</v>
      </c>
      <c r="W302" s="7"/>
      <c r="X302" s="7"/>
      <c r="Y302" s="7"/>
      <c r="Z302" s="7"/>
      <c r="AA302" s="7"/>
      <c r="AB302" s="7"/>
      <c r="AC302" s="7"/>
      <c r="AD302" s="7"/>
      <c r="AE302" s="7"/>
      <c r="AF302" s="7" t="s">
        <v>3431</v>
      </c>
      <c r="AG302" s="7"/>
      <c r="AH302" s="7"/>
      <c r="AI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 t="s">
        <v>3432</v>
      </c>
      <c r="W303" s="7"/>
      <c r="X303" s="7"/>
      <c r="Y303" s="7"/>
      <c r="Z303" s="7"/>
      <c r="AA303" s="7"/>
      <c r="AB303" s="7"/>
      <c r="AC303" s="7"/>
      <c r="AD303" s="7"/>
      <c r="AE303" s="7"/>
      <c r="AF303" s="7" t="s">
        <v>3433</v>
      </c>
      <c r="AG303" s="7"/>
      <c r="AH303" s="7"/>
      <c r="AI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 t="s">
        <v>3434</v>
      </c>
      <c r="W304" s="7"/>
      <c r="X304" s="7"/>
      <c r="Y304" s="7"/>
      <c r="Z304" s="7"/>
      <c r="AA304" s="7"/>
      <c r="AB304" s="7"/>
      <c r="AC304" s="7"/>
      <c r="AD304" s="7"/>
      <c r="AE304" s="7"/>
      <c r="AF304" s="7" t="s">
        <v>3435</v>
      </c>
      <c r="AG304" s="7"/>
      <c r="AH304" s="7"/>
      <c r="AI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 t="s">
        <v>3436</v>
      </c>
      <c r="W305" s="7"/>
      <c r="X305" s="7"/>
      <c r="Y305" s="7"/>
      <c r="Z305" s="7"/>
      <c r="AA305" s="7"/>
      <c r="AB305" s="7"/>
      <c r="AC305" s="7"/>
      <c r="AD305" s="7"/>
      <c r="AE305" s="7"/>
      <c r="AF305" s="7" t="s">
        <v>3437</v>
      </c>
      <c r="AG305" s="7"/>
      <c r="AH305" s="7"/>
      <c r="AI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 t="s">
        <v>3438</v>
      </c>
      <c r="W306" s="7"/>
      <c r="X306" s="7"/>
      <c r="Y306" s="7"/>
      <c r="Z306" s="7"/>
      <c r="AA306" s="7"/>
      <c r="AB306" s="7"/>
      <c r="AC306" s="7"/>
      <c r="AD306" s="7"/>
      <c r="AE306" s="7"/>
      <c r="AF306" s="7" t="s">
        <v>3439</v>
      </c>
      <c r="AG306" s="7"/>
      <c r="AH306" s="7"/>
      <c r="AI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 t="s">
        <v>3440</v>
      </c>
      <c r="W307" s="7"/>
      <c r="X307" s="7"/>
      <c r="Y307" s="7"/>
      <c r="Z307" s="7"/>
      <c r="AA307" s="7"/>
      <c r="AB307" s="7"/>
      <c r="AC307" s="7"/>
      <c r="AD307" s="7"/>
      <c r="AE307" s="7"/>
      <c r="AF307" s="7" t="s">
        <v>3441</v>
      </c>
      <c r="AG307" s="7"/>
      <c r="AH307" s="7"/>
      <c r="AI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 t="s">
        <v>3442</v>
      </c>
      <c r="W308" s="7"/>
      <c r="X308" s="7"/>
      <c r="Y308" s="7"/>
      <c r="Z308" s="7"/>
      <c r="AA308" s="7"/>
      <c r="AB308" s="7"/>
      <c r="AC308" s="7"/>
      <c r="AD308" s="7"/>
      <c r="AE308" s="7"/>
      <c r="AF308" s="7" t="s">
        <v>3443</v>
      </c>
      <c r="AG308" s="7"/>
      <c r="AH308" s="7"/>
      <c r="AI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 t="s">
        <v>3444</v>
      </c>
      <c r="W309" s="7"/>
      <c r="X309" s="7"/>
      <c r="Y309" s="7"/>
      <c r="Z309" s="7"/>
      <c r="AA309" s="7"/>
      <c r="AB309" s="7"/>
      <c r="AC309" s="7"/>
      <c r="AD309" s="7"/>
      <c r="AE309" s="7"/>
      <c r="AF309" s="7" t="s">
        <v>3445</v>
      </c>
      <c r="AG309" s="7"/>
      <c r="AH309" s="7"/>
      <c r="AI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 t="s">
        <v>3446</v>
      </c>
      <c r="W310" s="7"/>
      <c r="X310" s="7"/>
      <c r="Y310" s="7"/>
      <c r="Z310" s="7"/>
      <c r="AA310" s="7"/>
      <c r="AB310" s="7"/>
      <c r="AC310" s="7"/>
      <c r="AD310" s="7"/>
      <c r="AE310" s="7"/>
      <c r="AF310" s="7" t="s">
        <v>3447</v>
      </c>
      <c r="AG310" s="7"/>
      <c r="AH310" s="7"/>
      <c r="AI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 t="s">
        <v>3448</v>
      </c>
      <c r="W311" s="7"/>
      <c r="X311" s="7"/>
      <c r="Y311" s="7"/>
      <c r="Z311" s="7"/>
      <c r="AA311" s="7"/>
      <c r="AB311" s="7"/>
      <c r="AC311" s="7"/>
      <c r="AD311" s="7"/>
      <c r="AE311" s="7"/>
      <c r="AF311" s="7" t="s">
        <v>3449</v>
      </c>
      <c r="AG311" s="7"/>
      <c r="AH311" s="7"/>
      <c r="AI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 t="s">
        <v>3450</v>
      </c>
      <c r="W312" s="7"/>
      <c r="X312" s="7"/>
      <c r="Y312" s="7"/>
      <c r="Z312" s="7"/>
      <c r="AA312" s="7"/>
      <c r="AB312" s="7"/>
      <c r="AC312" s="7"/>
      <c r="AD312" s="7"/>
      <c r="AE312" s="7"/>
      <c r="AF312" s="7" t="s">
        <v>3451</v>
      </c>
      <c r="AG312" s="7"/>
      <c r="AH312" s="7"/>
      <c r="AI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 t="s">
        <v>3452</v>
      </c>
      <c r="W313" s="7"/>
      <c r="X313" s="7"/>
      <c r="Y313" s="7"/>
      <c r="Z313" s="7"/>
      <c r="AA313" s="7"/>
      <c r="AB313" s="7"/>
      <c r="AC313" s="7"/>
      <c r="AD313" s="7"/>
      <c r="AE313" s="7"/>
      <c r="AF313" s="7" t="s">
        <v>3453</v>
      </c>
      <c r="AG313" s="7"/>
      <c r="AH313" s="7"/>
      <c r="AI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 t="s">
        <v>3454</v>
      </c>
      <c r="W314" s="7"/>
      <c r="X314" s="7"/>
      <c r="Y314" s="7"/>
      <c r="Z314" s="7"/>
      <c r="AA314" s="7"/>
      <c r="AB314" s="7"/>
      <c r="AC314" s="7"/>
      <c r="AD314" s="7"/>
      <c r="AE314" s="7"/>
      <c r="AF314" s="7" t="s">
        <v>3455</v>
      </c>
      <c r="AG314" s="7"/>
      <c r="AH314" s="7"/>
      <c r="AI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 t="s">
        <v>3456</v>
      </c>
      <c r="W315" s="7"/>
      <c r="X315" s="7"/>
      <c r="Y315" s="7"/>
      <c r="Z315" s="7"/>
      <c r="AA315" s="7"/>
      <c r="AB315" s="7"/>
      <c r="AC315" s="7"/>
      <c r="AD315" s="7"/>
      <c r="AE315" s="7"/>
      <c r="AF315" s="7" t="s">
        <v>3457</v>
      </c>
      <c r="AG315" s="7"/>
      <c r="AH315" s="7"/>
      <c r="AI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 t="s">
        <v>3458</v>
      </c>
      <c r="W316" s="7"/>
      <c r="X316" s="7"/>
      <c r="Y316" s="7"/>
      <c r="Z316" s="7"/>
      <c r="AA316" s="7"/>
      <c r="AB316" s="7"/>
      <c r="AC316" s="7"/>
      <c r="AD316" s="7"/>
      <c r="AE316" s="7"/>
      <c r="AF316" s="7" t="s">
        <v>3459</v>
      </c>
      <c r="AG316" s="7"/>
      <c r="AH316" s="7"/>
      <c r="AI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 t="s">
        <v>3460</v>
      </c>
      <c r="W317" s="7"/>
      <c r="X317" s="7"/>
      <c r="Y317" s="7"/>
      <c r="Z317" s="7"/>
      <c r="AA317" s="7"/>
      <c r="AB317" s="7"/>
      <c r="AC317" s="7"/>
      <c r="AD317" s="7"/>
      <c r="AE317" s="7"/>
      <c r="AF317" s="7" t="s">
        <v>3461</v>
      </c>
      <c r="AG317" s="7"/>
      <c r="AH317" s="7"/>
      <c r="AI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 t="s">
        <v>3462</v>
      </c>
      <c r="W318" s="7"/>
      <c r="X318" s="7"/>
      <c r="Y318" s="7"/>
      <c r="Z318" s="7"/>
      <c r="AA318" s="7"/>
      <c r="AB318" s="7"/>
      <c r="AC318" s="7"/>
      <c r="AD318" s="7"/>
      <c r="AE318" s="7"/>
      <c r="AF318" s="7" t="s">
        <v>3463</v>
      </c>
      <c r="AG318" s="7"/>
      <c r="AH318" s="7"/>
      <c r="AI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 t="s">
        <v>3464</v>
      </c>
      <c r="W319" s="7"/>
      <c r="X319" s="7"/>
      <c r="Y319" s="7"/>
      <c r="Z319" s="7"/>
      <c r="AA319" s="7"/>
      <c r="AB319" s="7"/>
      <c r="AC319" s="7"/>
      <c r="AD319" s="7"/>
      <c r="AE319" s="7"/>
      <c r="AF319" s="7" t="s">
        <v>3465</v>
      </c>
      <c r="AG319" s="7"/>
      <c r="AH319" s="7"/>
      <c r="AI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 t="s">
        <v>3466</v>
      </c>
      <c r="W320" s="7"/>
      <c r="X320" s="7"/>
      <c r="Y320" s="7"/>
      <c r="Z320" s="7"/>
      <c r="AA320" s="7"/>
      <c r="AB320" s="7"/>
      <c r="AC320" s="7"/>
      <c r="AD320" s="7"/>
      <c r="AE320" s="7"/>
      <c r="AF320" s="7" t="s">
        <v>3467</v>
      </c>
      <c r="AG320" s="7"/>
      <c r="AH320" s="7"/>
      <c r="AI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 t="s">
        <v>3468</v>
      </c>
      <c r="W321" s="7"/>
      <c r="X321" s="7"/>
      <c r="Y321" s="7"/>
      <c r="Z321" s="7"/>
      <c r="AA321" s="7"/>
      <c r="AB321" s="7"/>
      <c r="AC321" s="7"/>
      <c r="AD321" s="7"/>
      <c r="AE321" s="7"/>
      <c r="AF321" s="7" t="s">
        <v>3469</v>
      </c>
      <c r="AG321" s="7"/>
      <c r="AH321" s="7"/>
      <c r="AI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 t="s">
        <v>3470</v>
      </c>
      <c r="W322" s="7"/>
      <c r="X322" s="7"/>
      <c r="Y322" s="7"/>
      <c r="Z322" s="7"/>
      <c r="AA322" s="7"/>
      <c r="AB322" s="7"/>
      <c r="AC322" s="7"/>
      <c r="AD322" s="7"/>
      <c r="AE322" s="7"/>
      <c r="AF322" s="7" t="s">
        <v>3471</v>
      </c>
      <c r="AG322" s="7"/>
      <c r="AH322" s="7"/>
      <c r="AI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 t="s">
        <v>3472</v>
      </c>
      <c r="W323" s="7"/>
      <c r="X323" s="7"/>
      <c r="Y323" s="7"/>
      <c r="Z323" s="7"/>
      <c r="AA323" s="7"/>
      <c r="AB323" s="7"/>
      <c r="AC323" s="7"/>
      <c r="AD323" s="7"/>
      <c r="AE323" s="7"/>
      <c r="AF323" s="7" t="s">
        <v>3473</v>
      </c>
      <c r="AG323" s="7"/>
      <c r="AH323" s="7"/>
      <c r="AI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 t="s">
        <v>3474</v>
      </c>
      <c r="W324" s="7"/>
      <c r="X324" s="7"/>
      <c r="Y324" s="7"/>
      <c r="Z324" s="7"/>
      <c r="AA324" s="7"/>
      <c r="AB324" s="7"/>
      <c r="AC324" s="7"/>
      <c r="AD324" s="7"/>
      <c r="AE324" s="7"/>
      <c r="AF324" s="7" t="s">
        <v>3475</v>
      </c>
      <c r="AG324" s="7"/>
      <c r="AH324" s="7"/>
      <c r="AI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 t="s">
        <v>3476</v>
      </c>
      <c r="W325" s="7"/>
      <c r="X325" s="7"/>
      <c r="Y325" s="7"/>
      <c r="Z325" s="7"/>
      <c r="AA325" s="7"/>
      <c r="AB325" s="7"/>
      <c r="AC325" s="7"/>
      <c r="AD325" s="7"/>
      <c r="AE325" s="7"/>
      <c r="AF325" s="7" t="s">
        <v>3477</v>
      </c>
      <c r="AG325" s="7"/>
      <c r="AH325" s="7"/>
      <c r="AI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 t="s">
        <v>3478</v>
      </c>
      <c r="W326" s="7"/>
      <c r="X326" s="7"/>
      <c r="Y326" s="7"/>
      <c r="Z326" s="7"/>
      <c r="AA326" s="7"/>
      <c r="AB326" s="7"/>
      <c r="AC326" s="7"/>
      <c r="AD326" s="7"/>
      <c r="AE326" s="7"/>
      <c r="AF326" s="7" t="s">
        <v>3479</v>
      </c>
      <c r="AG326" s="7"/>
      <c r="AH326" s="7"/>
      <c r="AI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 t="s">
        <v>3480</v>
      </c>
      <c r="W327" s="7"/>
      <c r="X327" s="7"/>
      <c r="Y327" s="7"/>
      <c r="Z327" s="7"/>
      <c r="AA327" s="7"/>
      <c r="AB327" s="7"/>
      <c r="AC327" s="7"/>
      <c r="AD327" s="7"/>
      <c r="AE327" s="7"/>
      <c r="AF327" s="7" t="s">
        <v>3481</v>
      </c>
      <c r="AG327" s="7"/>
      <c r="AH327" s="7"/>
      <c r="AI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 t="s">
        <v>3482</v>
      </c>
      <c r="W328" s="7"/>
      <c r="X328" s="7"/>
      <c r="Y328" s="7"/>
      <c r="Z328" s="7"/>
      <c r="AA328" s="7"/>
      <c r="AB328" s="7"/>
      <c r="AC328" s="7"/>
      <c r="AD328" s="7"/>
      <c r="AE328" s="7"/>
      <c r="AF328" s="7" t="s">
        <v>3483</v>
      </c>
      <c r="AG328" s="7"/>
      <c r="AH328" s="7"/>
      <c r="AI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 t="s">
        <v>3484</v>
      </c>
      <c r="W329" s="7"/>
      <c r="X329" s="7"/>
      <c r="Y329" s="7"/>
      <c r="Z329" s="7"/>
      <c r="AA329" s="7"/>
      <c r="AB329" s="7"/>
      <c r="AC329" s="7"/>
      <c r="AD329" s="7"/>
      <c r="AE329" s="7"/>
      <c r="AF329" s="7" t="s">
        <v>3485</v>
      </c>
      <c r="AG329" s="7"/>
      <c r="AH329" s="7"/>
      <c r="AI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 t="s">
        <v>3486</v>
      </c>
      <c r="W330" s="7"/>
      <c r="X330" s="7"/>
      <c r="Y330" s="7"/>
      <c r="Z330" s="7"/>
      <c r="AA330" s="7"/>
      <c r="AB330" s="7"/>
      <c r="AC330" s="7"/>
      <c r="AD330" s="7"/>
      <c r="AE330" s="7"/>
      <c r="AF330" s="7" t="s">
        <v>3487</v>
      </c>
      <c r="AG330" s="7"/>
      <c r="AH330" s="7"/>
      <c r="AI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 t="s">
        <v>3488</v>
      </c>
      <c r="W331" s="7"/>
      <c r="X331" s="7"/>
      <c r="Y331" s="7"/>
      <c r="Z331" s="7"/>
      <c r="AA331" s="7"/>
      <c r="AB331" s="7"/>
      <c r="AC331" s="7"/>
      <c r="AD331" s="7"/>
      <c r="AE331" s="7"/>
      <c r="AF331" s="7" t="s">
        <v>3489</v>
      </c>
      <c r="AG331" s="7"/>
      <c r="AH331" s="7"/>
      <c r="AI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 t="s">
        <v>3490</v>
      </c>
      <c r="W332" s="7"/>
      <c r="X332" s="7"/>
      <c r="Y332" s="7"/>
      <c r="Z332" s="7"/>
      <c r="AA332" s="7"/>
      <c r="AB332" s="7"/>
      <c r="AC332" s="7"/>
      <c r="AD332" s="7"/>
      <c r="AE332" s="7"/>
      <c r="AF332" s="7" t="s">
        <v>3491</v>
      </c>
      <c r="AG332" s="7"/>
      <c r="AH332" s="7"/>
      <c r="AI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 t="s">
        <v>3492</v>
      </c>
      <c r="W333" s="7"/>
      <c r="X333" s="7"/>
      <c r="Y333" s="7"/>
      <c r="Z333" s="7"/>
      <c r="AA333" s="7"/>
      <c r="AB333" s="7"/>
      <c r="AC333" s="7"/>
      <c r="AD333" s="7"/>
      <c r="AE333" s="7"/>
      <c r="AF333" s="7" t="s">
        <v>3493</v>
      </c>
      <c r="AG333" s="7"/>
      <c r="AH333" s="7"/>
      <c r="AI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 t="s">
        <v>3494</v>
      </c>
      <c r="W334" s="7"/>
      <c r="X334" s="7"/>
      <c r="Y334" s="7"/>
      <c r="Z334" s="7"/>
      <c r="AA334" s="7"/>
      <c r="AB334" s="7"/>
      <c r="AC334" s="7"/>
      <c r="AD334" s="7"/>
      <c r="AE334" s="7"/>
      <c r="AF334" s="7" t="s">
        <v>3495</v>
      </c>
      <c r="AG334" s="7"/>
      <c r="AH334" s="7"/>
      <c r="AI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 t="s">
        <v>3496</v>
      </c>
      <c r="W335" s="7"/>
      <c r="X335" s="7"/>
      <c r="Y335" s="7"/>
      <c r="Z335" s="7"/>
      <c r="AA335" s="7"/>
      <c r="AB335" s="7"/>
      <c r="AC335" s="7"/>
      <c r="AD335" s="7"/>
      <c r="AE335" s="7"/>
      <c r="AF335" s="7" t="s">
        <v>3497</v>
      </c>
      <c r="AG335" s="7"/>
      <c r="AH335" s="7"/>
      <c r="AI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 t="s">
        <v>3498</v>
      </c>
      <c r="W336" s="7"/>
      <c r="X336" s="7"/>
      <c r="Y336" s="7"/>
      <c r="Z336" s="7"/>
      <c r="AA336" s="7"/>
      <c r="AB336" s="7"/>
      <c r="AC336" s="7"/>
      <c r="AD336" s="7"/>
      <c r="AE336" s="7"/>
      <c r="AF336" s="7" t="s">
        <v>3499</v>
      </c>
      <c r="AG336" s="7"/>
      <c r="AH336" s="7"/>
      <c r="AI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 t="s">
        <v>3500</v>
      </c>
      <c r="W337" s="7"/>
      <c r="X337" s="7"/>
      <c r="Y337" s="7"/>
      <c r="Z337" s="7"/>
      <c r="AA337" s="7"/>
      <c r="AB337" s="7"/>
      <c r="AC337" s="7"/>
      <c r="AD337" s="7"/>
      <c r="AE337" s="7"/>
      <c r="AF337" s="7" t="s">
        <v>3501</v>
      </c>
      <c r="AG337" s="7"/>
      <c r="AH337" s="7"/>
      <c r="AI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 t="s">
        <v>3502</v>
      </c>
      <c r="W338" s="7"/>
      <c r="X338" s="7"/>
      <c r="Y338" s="7"/>
      <c r="Z338" s="7"/>
      <c r="AA338" s="7"/>
      <c r="AB338" s="7"/>
      <c r="AC338" s="7"/>
      <c r="AD338" s="7"/>
      <c r="AE338" s="7"/>
      <c r="AF338" s="7" t="s">
        <v>3503</v>
      </c>
      <c r="AG338" s="7"/>
      <c r="AH338" s="7"/>
      <c r="AI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 t="s">
        <v>3504</v>
      </c>
      <c r="W339" s="7"/>
      <c r="X339" s="7"/>
      <c r="Y339" s="7"/>
      <c r="Z339" s="7"/>
      <c r="AA339" s="7"/>
      <c r="AB339" s="7"/>
      <c r="AC339" s="7"/>
      <c r="AD339" s="7"/>
      <c r="AE339" s="7"/>
      <c r="AF339" s="7" t="s">
        <v>3505</v>
      </c>
      <c r="AG339" s="7"/>
      <c r="AH339" s="7"/>
      <c r="AI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 t="s">
        <v>3506</v>
      </c>
      <c r="W340" s="7"/>
      <c r="X340" s="7"/>
      <c r="Y340" s="7"/>
      <c r="Z340" s="7"/>
      <c r="AA340" s="7"/>
      <c r="AB340" s="7"/>
      <c r="AC340" s="7"/>
      <c r="AD340" s="7"/>
      <c r="AE340" s="7"/>
      <c r="AF340" s="7" t="s">
        <v>3507</v>
      </c>
      <c r="AG340" s="7"/>
      <c r="AH340" s="7"/>
      <c r="AI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 t="s">
        <v>3508</v>
      </c>
      <c r="W341" s="7"/>
      <c r="X341" s="7"/>
      <c r="Y341" s="7"/>
      <c r="Z341" s="7"/>
      <c r="AA341" s="7"/>
      <c r="AB341" s="7"/>
      <c r="AC341" s="7"/>
      <c r="AD341" s="7"/>
      <c r="AE341" s="7"/>
      <c r="AF341" s="7" t="s">
        <v>3509</v>
      </c>
      <c r="AG341" s="7"/>
      <c r="AH341" s="7"/>
      <c r="AI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 t="s">
        <v>3510</v>
      </c>
      <c r="W342" s="7"/>
      <c r="X342" s="7"/>
      <c r="Y342" s="7"/>
      <c r="Z342" s="7"/>
      <c r="AA342" s="7"/>
      <c r="AB342" s="7"/>
      <c r="AC342" s="7"/>
      <c r="AD342" s="7"/>
      <c r="AE342" s="7"/>
      <c r="AF342" s="7" t="s">
        <v>3511</v>
      </c>
      <c r="AG342" s="7"/>
      <c r="AH342" s="7"/>
      <c r="AI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 t="s">
        <v>3512</v>
      </c>
      <c r="W343" s="7"/>
      <c r="X343" s="7"/>
      <c r="Y343" s="7"/>
      <c r="Z343" s="7"/>
      <c r="AA343" s="7"/>
      <c r="AB343" s="7"/>
      <c r="AC343" s="7"/>
      <c r="AD343" s="7"/>
      <c r="AE343" s="7"/>
      <c r="AF343" s="7" t="s">
        <v>3513</v>
      </c>
      <c r="AG343" s="7"/>
      <c r="AH343" s="7"/>
      <c r="AI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 t="s">
        <v>3514</v>
      </c>
      <c r="W344" s="7"/>
      <c r="X344" s="7"/>
      <c r="Y344" s="7"/>
      <c r="Z344" s="7"/>
      <c r="AA344" s="7"/>
      <c r="AB344" s="7"/>
      <c r="AC344" s="7"/>
      <c r="AD344" s="7"/>
      <c r="AE344" s="7"/>
      <c r="AF344" s="7" t="s">
        <v>3515</v>
      </c>
      <c r="AG344" s="7"/>
      <c r="AH344" s="7"/>
      <c r="AI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 t="s">
        <v>3516</v>
      </c>
      <c r="W345" s="7"/>
      <c r="X345" s="7"/>
      <c r="Y345" s="7"/>
      <c r="Z345" s="7"/>
      <c r="AA345" s="7"/>
      <c r="AB345" s="7"/>
      <c r="AC345" s="7"/>
      <c r="AD345" s="7"/>
      <c r="AE345" s="7"/>
      <c r="AF345" s="7" t="s">
        <v>3517</v>
      </c>
      <c r="AG345" s="7"/>
      <c r="AH345" s="7"/>
      <c r="AI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 t="s">
        <v>3518</v>
      </c>
      <c r="W346" s="7"/>
      <c r="X346" s="7"/>
      <c r="Y346" s="7"/>
      <c r="Z346" s="7"/>
      <c r="AA346" s="7"/>
      <c r="AB346" s="7"/>
      <c r="AC346" s="7"/>
      <c r="AD346" s="7"/>
      <c r="AE346" s="7"/>
      <c r="AF346" s="7" t="s">
        <v>3519</v>
      </c>
      <c r="AG346" s="7"/>
      <c r="AH346" s="7"/>
      <c r="AI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 t="s">
        <v>3520</v>
      </c>
      <c r="W347" s="7"/>
      <c r="X347" s="7"/>
      <c r="Y347" s="7"/>
      <c r="Z347" s="7"/>
      <c r="AA347" s="7"/>
      <c r="AB347" s="7"/>
      <c r="AC347" s="7"/>
      <c r="AD347" s="7"/>
      <c r="AE347" s="7"/>
      <c r="AF347" s="7" t="s">
        <v>3521</v>
      </c>
      <c r="AG347" s="7"/>
      <c r="AH347" s="7"/>
      <c r="AI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 t="s">
        <v>3522</v>
      </c>
      <c r="W348" s="7"/>
      <c r="X348" s="7"/>
      <c r="Y348" s="7"/>
      <c r="Z348" s="7"/>
      <c r="AA348" s="7"/>
      <c r="AB348" s="7"/>
      <c r="AC348" s="7"/>
      <c r="AD348" s="7"/>
      <c r="AE348" s="7"/>
      <c r="AF348" s="7" t="s">
        <v>3523</v>
      </c>
      <c r="AG348" s="7"/>
      <c r="AH348" s="7"/>
      <c r="AI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 t="s">
        <v>3524</v>
      </c>
      <c r="W349" s="7"/>
      <c r="X349" s="7"/>
      <c r="Y349" s="7"/>
      <c r="Z349" s="7"/>
      <c r="AA349" s="7"/>
      <c r="AB349" s="7"/>
      <c r="AC349" s="7"/>
      <c r="AD349" s="7"/>
      <c r="AE349" s="7"/>
      <c r="AF349" s="7" t="s">
        <v>3525</v>
      </c>
      <c r="AG349" s="7"/>
      <c r="AH349" s="7"/>
      <c r="AI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 t="s">
        <v>3526</v>
      </c>
      <c r="W350" s="7"/>
      <c r="X350" s="7"/>
      <c r="Y350" s="7"/>
      <c r="Z350" s="7"/>
      <c r="AA350" s="7"/>
      <c r="AB350" s="7"/>
      <c r="AC350" s="7"/>
      <c r="AD350" s="7"/>
      <c r="AE350" s="7"/>
      <c r="AF350" s="7" t="s">
        <v>3527</v>
      </c>
      <c r="AG350" s="7"/>
      <c r="AH350" s="7"/>
      <c r="AI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 t="s">
        <v>3528</v>
      </c>
      <c r="W351" s="7"/>
      <c r="X351" s="7"/>
      <c r="Y351" s="7"/>
      <c r="Z351" s="7"/>
      <c r="AA351" s="7"/>
      <c r="AB351" s="7"/>
      <c r="AC351" s="7"/>
      <c r="AD351" s="7"/>
      <c r="AE351" s="7"/>
      <c r="AF351" s="7" t="s">
        <v>3529</v>
      </c>
      <c r="AG351" s="7"/>
      <c r="AH351" s="7"/>
      <c r="AI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 t="s">
        <v>3530</v>
      </c>
      <c r="W352" s="7"/>
      <c r="X352" s="7"/>
      <c r="Y352" s="7"/>
      <c r="Z352" s="7"/>
      <c r="AA352" s="7"/>
      <c r="AB352" s="7"/>
      <c r="AC352" s="7"/>
      <c r="AD352" s="7"/>
      <c r="AE352" s="7"/>
      <c r="AF352" s="7" t="s">
        <v>3531</v>
      </c>
      <c r="AG352" s="7"/>
      <c r="AH352" s="7"/>
      <c r="AI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 t="s">
        <v>3532</v>
      </c>
      <c r="W353" s="7"/>
      <c r="X353" s="7"/>
      <c r="Y353" s="7"/>
      <c r="Z353" s="7"/>
      <c r="AA353" s="7"/>
      <c r="AB353" s="7"/>
      <c r="AC353" s="7"/>
      <c r="AD353" s="7"/>
      <c r="AE353" s="7"/>
      <c r="AF353" s="7" t="s">
        <v>3533</v>
      </c>
      <c r="AG353" s="7"/>
      <c r="AH353" s="7"/>
      <c r="AI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 t="s">
        <v>3534</v>
      </c>
      <c r="W354" s="7"/>
      <c r="X354" s="7"/>
      <c r="Y354" s="7"/>
      <c r="Z354" s="7"/>
      <c r="AA354" s="7"/>
      <c r="AB354" s="7"/>
      <c r="AC354" s="7"/>
      <c r="AD354" s="7"/>
      <c r="AE354" s="7"/>
      <c r="AF354" s="7" t="s">
        <v>3535</v>
      </c>
      <c r="AG354" s="7"/>
      <c r="AH354" s="7"/>
      <c r="AI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 t="s">
        <v>3536</v>
      </c>
      <c r="W355" s="7"/>
      <c r="X355" s="7"/>
      <c r="Y355" s="7"/>
      <c r="Z355" s="7"/>
      <c r="AA355" s="7"/>
      <c r="AB355" s="7"/>
      <c r="AC355" s="7"/>
      <c r="AD355" s="7"/>
      <c r="AE355" s="7"/>
      <c r="AF355" s="7" t="s">
        <v>3537</v>
      </c>
      <c r="AG355" s="7"/>
      <c r="AH355" s="7"/>
      <c r="AI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 t="s">
        <v>3538</v>
      </c>
      <c r="W356" s="7"/>
      <c r="X356" s="7"/>
      <c r="Y356" s="7"/>
      <c r="Z356" s="7"/>
      <c r="AA356" s="7"/>
      <c r="AB356" s="7"/>
      <c r="AC356" s="7"/>
      <c r="AD356" s="7"/>
      <c r="AE356" s="7"/>
      <c r="AF356" s="7" t="s">
        <v>3539</v>
      </c>
      <c r="AG356" s="7"/>
      <c r="AH356" s="7"/>
      <c r="AI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 t="s">
        <v>3540</v>
      </c>
      <c r="W357" s="7"/>
      <c r="X357" s="7"/>
      <c r="Y357" s="7"/>
      <c r="Z357" s="7"/>
      <c r="AA357" s="7"/>
      <c r="AB357" s="7"/>
      <c r="AC357" s="7"/>
      <c r="AD357" s="7"/>
      <c r="AE357" s="7"/>
      <c r="AF357" s="7" t="s">
        <v>3541</v>
      </c>
      <c r="AG357" s="7"/>
      <c r="AH357" s="7"/>
      <c r="AI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 t="s">
        <v>3542</v>
      </c>
      <c r="W358" s="7"/>
      <c r="X358" s="7"/>
      <c r="Y358" s="7"/>
      <c r="Z358" s="7"/>
      <c r="AA358" s="7"/>
      <c r="AB358" s="7"/>
      <c r="AC358" s="7"/>
      <c r="AD358" s="7"/>
      <c r="AE358" s="7"/>
      <c r="AF358" s="7" t="s">
        <v>3543</v>
      </c>
      <c r="AG358" s="7"/>
      <c r="AH358" s="7"/>
      <c r="AI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 t="s">
        <v>3544</v>
      </c>
      <c r="W359" s="7"/>
      <c r="X359" s="7"/>
      <c r="Y359" s="7"/>
      <c r="Z359" s="7"/>
      <c r="AA359" s="7"/>
      <c r="AB359" s="7"/>
      <c r="AC359" s="7"/>
      <c r="AD359" s="7"/>
      <c r="AE359" s="7"/>
      <c r="AF359" s="7" t="s">
        <v>3545</v>
      </c>
      <c r="AG359" s="7"/>
      <c r="AH359" s="7"/>
      <c r="AI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 t="s">
        <v>3546</v>
      </c>
      <c r="W360" s="7"/>
      <c r="X360" s="7"/>
      <c r="Y360" s="7"/>
      <c r="Z360" s="7"/>
      <c r="AA360" s="7"/>
      <c r="AB360" s="7"/>
      <c r="AC360" s="7"/>
      <c r="AD360" s="7"/>
      <c r="AE360" s="7"/>
      <c r="AF360" s="7" t="s">
        <v>3547</v>
      </c>
      <c r="AG360" s="7"/>
      <c r="AH360" s="7"/>
      <c r="AI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 t="s">
        <v>3548</v>
      </c>
      <c r="W361" s="7"/>
      <c r="X361" s="7"/>
      <c r="Y361" s="7"/>
      <c r="Z361" s="7"/>
      <c r="AA361" s="7"/>
      <c r="AB361" s="7"/>
      <c r="AC361" s="7"/>
      <c r="AD361" s="7"/>
      <c r="AE361" s="7"/>
      <c r="AF361" s="7" t="s">
        <v>3549</v>
      </c>
      <c r="AG361" s="7"/>
      <c r="AH361" s="7"/>
      <c r="AI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 t="s">
        <v>3550</v>
      </c>
      <c r="W362" s="7"/>
      <c r="X362" s="7"/>
      <c r="Y362" s="7"/>
      <c r="Z362" s="7"/>
      <c r="AA362" s="7"/>
      <c r="AB362" s="7"/>
      <c r="AC362" s="7"/>
      <c r="AD362" s="7"/>
      <c r="AE362" s="7"/>
      <c r="AF362" s="7" t="s">
        <v>3551</v>
      </c>
      <c r="AG362" s="7"/>
      <c r="AH362" s="7"/>
      <c r="AI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 t="s">
        <v>3552</v>
      </c>
      <c r="W363" s="7"/>
      <c r="X363" s="7"/>
      <c r="Y363" s="7"/>
      <c r="Z363" s="7"/>
      <c r="AA363" s="7"/>
      <c r="AB363" s="7"/>
      <c r="AC363" s="7"/>
      <c r="AD363" s="7"/>
      <c r="AE363" s="7"/>
      <c r="AF363" s="7" t="s">
        <v>3553</v>
      </c>
      <c r="AG363" s="7"/>
      <c r="AH363" s="7"/>
      <c r="AI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 t="s">
        <v>3554</v>
      </c>
      <c r="W364" s="7"/>
      <c r="X364" s="7"/>
      <c r="Y364" s="7"/>
      <c r="Z364" s="7"/>
      <c r="AA364" s="7"/>
      <c r="AB364" s="7"/>
      <c r="AC364" s="7"/>
      <c r="AD364" s="7"/>
      <c r="AE364" s="7"/>
      <c r="AF364" s="7" t="s">
        <v>3555</v>
      </c>
      <c r="AG364" s="7"/>
      <c r="AH364" s="7"/>
      <c r="AI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 t="s">
        <v>3556</v>
      </c>
      <c r="W365" s="7"/>
      <c r="X365" s="7"/>
      <c r="Y365" s="7"/>
      <c r="Z365" s="7"/>
      <c r="AA365" s="7"/>
      <c r="AB365" s="7"/>
      <c r="AC365" s="7"/>
      <c r="AD365" s="7"/>
      <c r="AE365" s="7"/>
      <c r="AF365" s="7" t="s">
        <v>3557</v>
      </c>
      <c r="AG365" s="7"/>
      <c r="AH365" s="7"/>
      <c r="AI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 t="s">
        <v>3558</v>
      </c>
      <c r="W366" s="7"/>
      <c r="X366" s="7"/>
      <c r="Y366" s="7"/>
      <c r="Z366" s="7"/>
      <c r="AA366" s="7"/>
      <c r="AB366" s="7"/>
      <c r="AC366" s="7"/>
      <c r="AD366" s="7"/>
      <c r="AE366" s="7"/>
      <c r="AF366" s="7" t="s">
        <v>3559</v>
      </c>
      <c r="AG366" s="7"/>
      <c r="AH366" s="7"/>
      <c r="AI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 t="s">
        <v>3560</v>
      </c>
      <c r="W367" s="7"/>
      <c r="X367" s="7"/>
      <c r="Y367" s="7"/>
      <c r="Z367" s="7"/>
      <c r="AA367" s="7"/>
      <c r="AB367" s="7"/>
      <c r="AC367" s="7"/>
      <c r="AD367" s="7"/>
      <c r="AE367" s="7"/>
      <c r="AF367" s="7" t="s">
        <v>3561</v>
      </c>
      <c r="AG367" s="7"/>
      <c r="AH367" s="7"/>
      <c r="AI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 t="s">
        <v>3562</v>
      </c>
      <c r="W368" s="7"/>
      <c r="X368" s="7"/>
      <c r="Y368" s="7"/>
      <c r="Z368" s="7"/>
      <c r="AA368" s="7"/>
      <c r="AB368" s="7"/>
      <c r="AC368" s="7"/>
      <c r="AD368" s="7"/>
      <c r="AE368" s="7"/>
      <c r="AF368" s="7" t="s">
        <v>3563</v>
      </c>
      <c r="AG368" s="7"/>
      <c r="AH368" s="7"/>
      <c r="AI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 t="s">
        <v>3564</v>
      </c>
      <c r="W369" s="7"/>
      <c r="X369" s="7"/>
      <c r="Y369" s="7"/>
      <c r="Z369" s="7"/>
      <c r="AA369" s="7"/>
      <c r="AB369" s="7"/>
      <c r="AC369" s="7"/>
      <c r="AD369" s="7"/>
      <c r="AE369" s="7"/>
      <c r="AF369" s="7" t="s">
        <v>3565</v>
      </c>
      <c r="AG369" s="7"/>
      <c r="AH369" s="7"/>
      <c r="AI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 t="s">
        <v>3566</v>
      </c>
      <c r="W370" s="7"/>
      <c r="X370" s="7"/>
      <c r="Y370" s="7"/>
      <c r="Z370" s="7"/>
      <c r="AA370" s="7"/>
      <c r="AB370" s="7"/>
      <c r="AC370" s="7"/>
      <c r="AD370" s="7"/>
      <c r="AE370" s="7"/>
      <c r="AF370" s="7" t="s">
        <v>3567</v>
      </c>
      <c r="AG370" s="7"/>
      <c r="AH370" s="7"/>
      <c r="AI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 t="s">
        <v>3568</v>
      </c>
      <c r="W371" s="7"/>
      <c r="X371" s="7"/>
      <c r="Y371" s="7"/>
      <c r="Z371" s="7"/>
      <c r="AA371" s="7"/>
      <c r="AB371" s="7"/>
      <c r="AC371" s="7"/>
      <c r="AD371" s="7"/>
      <c r="AE371" s="7"/>
      <c r="AF371" s="7" t="s">
        <v>3569</v>
      </c>
      <c r="AG371" s="7"/>
      <c r="AH371" s="7"/>
      <c r="AI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 t="s">
        <v>3570</v>
      </c>
      <c r="W372" s="7"/>
      <c r="X372" s="7"/>
      <c r="Y372" s="7"/>
      <c r="Z372" s="7"/>
      <c r="AA372" s="7"/>
      <c r="AB372" s="7"/>
      <c r="AC372" s="7"/>
      <c r="AD372" s="7"/>
      <c r="AE372" s="7"/>
      <c r="AF372" s="7" t="s">
        <v>3571</v>
      </c>
      <c r="AG372" s="7"/>
      <c r="AH372" s="7"/>
      <c r="AI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 t="s">
        <v>3572</v>
      </c>
      <c r="W373" s="7"/>
      <c r="X373" s="7"/>
      <c r="Y373" s="7"/>
      <c r="Z373" s="7"/>
      <c r="AA373" s="7"/>
      <c r="AB373" s="7"/>
      <c r="AC373" s="7"/>
      <c r="AD373" s="7"/>
      <c r="AE373" s="7"/>
      <c r="AF373" s="7" t="s">
        <v>3573</v>
      </c>
      <c r="AG373" s="7"/>
      <c r="AH373" s="7"/>
      <c r="AI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 t="s">
        <v>3574</v>
      </c>
      <c r="W374" s="7"/>
      <c r="X374" s="7"/>
      <c r="Y374" s="7"/>
      <c r="Z374" s="7"/>
      <c r="AA374" s="7"/>
      <c r="AB374" s="7"/>
      <c r="AC374" s="7"/>
      <c r="AD374" s="7"/>
      <c r="AE374" s="7"/>
      <c r="AF374" s="7" t="s">
        <v>3575</v>
      </c>
      <c r="AG374" s="7"/>
      <c r="AH374" s="7"/>
      <c r="AI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 t="s">
        <v>3576</v>
      </c>
      <c r="W375" s="7"/>
      <c r="X375" s="7"/>
      <c r="Y375" s="7"/>
      <c r="Z375" s="7"/>
      <c r="AA375" s="7"/>
      <c r="AB375" s="7"/>
      <c r="AC375" s="7"/>
      <c r="AD375" s="7"/>
      <c r="AE375" s="7"/>
      <c r="AF375" s="7" t="s">
        <v>3577</v>
      </c>
      <c r="AG375" s="7"/>
      <c r="AH375" s="7"/>
      <c r="AI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 t="s">
        <v>3578</v>
      </c>
      <c r="W376" s="7"/>
      <c r="X376" s="7"/>
      <c r="Y376" s="7"/>
      <c r="Z376" s="7"/>
      <c r="AA376" s="7"/>
      <c r="AB376" s="7"/>
      <c r="AC376" s="7"/>
      <c r="AD376" s="7"/>
      <c r="AE376" s="7"/>
      <c r="AF376" s="7" t="s">
        <v>3579</v>
      </c>
      <c r="AG376" s="7"/>
      <c r="AH376" s="7"/>
      <c r="AI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 t="s">
        <v>3580</v>
      </c>
      <c r="W377" s="7"/>
      <c r="X377" s="7"/>
      <c r="Y377" s="7"/>
      <c r="Z377" s="7"/>
      <c r="AA377" s="7"/>
      <c r="AB377" s="7"/>
      <c r="AC377" s="7"/>
      <c r="AD377" s="7"/>
      <c r="AE377" s="7"/>
      <c r="AF377" s="7" t="s">
        <v>3581</v>
      </c>
      <c r="AG377" s="7"/>
      <c r="AH377" s="7"/>
      <c r="AI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 t="s">
        <v>3582</v>
      </c>
      <c r="W378" s="7"/>
      <c r="X378" s="7"/>
      <c r="Y378" s="7"/>
      <c r="Z378" s="7"/>
      <c r="AA378" s="7"/>
      <c r="AB378" s="7"/>
      <c r="AC378" s="7"/>
      <c r="AD378" s="7"/>
      <c r="AE378" s="7"/>
      <c r="AF378" s="7" t="s">
        <v>3583</v>
      </c>
      <c r="AG378" s="7"/>
      <c r="AH378" s="7"/>
      <c r="AI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 t="s">
        <v>3584</v>
      </c>
      <c r="W379" s="7"/>
      <c r="X379" s="7"/>
      <c r="Y379" s="7"/>
      <c r="Z379" s="7"/>
      <c r="AA379" s="7"/>
      <c r="AB379" s="7"/>
      <c r="AC379" s="7"/>
      <c r="AD379" s="7"/>
      <c r="AE379" s="7"/>
      <c r="AF379" s="7" t="s">
        <v>3585</v>
      </c>
      <c r="AG379" s="7"/>
      <c r="AH379" s="7"/>
      <c r="AI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 t="s">
        <v>3586</v>
      </c>
      <c r="W380" s="7"/>
      <c r="X380" s="7"/>
      <c r="Y380" s="7"/>
      <c r="Z380" s="7"/>
      <c r="AA380" s="7"/>
      <c r="AB380" s="7"/>
      <c r="AC380" s="7"/>
      <c r="AD380" s="7"/>
      <c r="AE380" s="7"/>
      <c r="AF380" s="7" t="s">
        <v>3587</v>
      </c>
      <c r="AG380" s="7"/>
      <c r="AH380" s="7"/>
      <c r="AI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 t="s">
        <v>3588</v>
      </c>
      <c r="W381" s="7"/>
      <c r="X381" s="7"/>
      <c r="Y381" s="7"/>
      <c r="Z381" s="7"/>
      <c r="AA381" s="7"/>
      <c r="AB381" s="7"/>
      <c r="AC381" s="7"/>
      <c r="AD381" s="7"/>
      <c r="AE381" s="7"/>
      <c r="AF381" s="7" t="s">
        <v>3589</v>
      </c>
      <c r="AG381" s="7"/>
      <c r="AH381" s="7"/>
      <c r="AI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 t="s">
        <v>3590</v>
      </c>
      <c r="W382" s="7"/>
      <c r="X382" s="7"/>
      <c r="Y382" s="7"/>
      <c r="Z382" s="7"/>
      <c r="AA382" s="7"/>
      <c r="AB382" s="7"/>
      <c r="AC382" s="7"/>
      <c r="AD382" s="7"/>
      <c r="AE382" s="7"/>
      <c r="AF382" s="7" t="s">
        <v>3591</v>
      </c>
      <c r="AG382" s="7"/>
      <c r="AH382" s="7"/>
      <c r="AI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 t="s">
        <v>3592</v>
      </c>
      <c r="W383" s="7"/>
      <c r="X383" s="7"/>
      <c r="Y383" s="7"/>
      <c r="Z383" s="7"/>
      <c r="AA383" s="7"/>
      <c r="AB383" s="7"/>
      <c r="AC383" s="7"/>
      <c r="AD383" s="7"/>
      <c r="AE383" s="7"/>
      <c r="AF383" s="7" t="s">
        <v>3593</v>
      </c>
      <c r="AG383" s="7"/>
      <c r="AH383" s="7"/>
      <c r="AI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 t="s">
        <v>3594</v>
      </c>
      <c r="W384" s="7"/>
      <c r="X384" s="7"/>
      <c r="Y384" s="7"/>
      <c r="Z384" s="7"/>
      <c r="AA384" s="7"/>
      <c r="AB384" s="7"/>
      <c r="AC384" s="7"/>
      <c r="AD384" s="7"/>
      <c r="AE384" s="7"/>
      <c r="AF384" s="7" t="s">
        <v>3595</v>
      </c>
      <c r="AG384" s="7"/>
      <c r="AH384" s="7"/>
      <c r="AI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 t="s">
        <v>3596</v>
      </c>
      <c r="W385" s="7"/>
      <c r="X385" s="7"/>
      <c r="Y385" s="7"/>
      <c r="Z385" s="7"/>
      <c r="AA385" s="7"/>
      <c r="AB385" s="7"/>
      <c r="AC385" s="7"/>
      <c r="AD385" s="7"/>
      <c r="AE385" s="7"/>
      <c r="AF385" s="7" t="s">
        <v>3597</v>
      </c>
      <c r="AG385" s="7"/>
      <c r="AH385" s="7"/>
      <c r="AI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 t="s">
        <v>3598</v>
      </c>
      <c r="W386" s="7"/>
      <c r="X386" s="7"/>
      <c r="Y386" s="7"/>
      <c r="Z386" s="7"/>
      <c r="AA386" s="7"/>
      <c r="AB386" s="7"/>
      <c r="AC386" s="7"/>
      <c r="AD386" s="7"/>
      <c r="AE386" s="7"/>
      <c r="AF386" s="7" t="s">
        <v>3599</v>
      </c>
      <c r="AG386" s="7"/>
      <c r="AH386" s="7"/>
      <c r="AI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 t="s">
        <v>3600</v>
      </c>
      <c r="W387" s="7"/>
      <c r="X387" s="7"/>
      <c r="Y387" s="7"/>
      <c r="Z387" s="7"/>
      <c r="AA387" s="7"/>
      <c r="AB387" s="7"/>
      <c r="AC387" s="7"/>
      <c r="AD387" s="7"/>
      <c r="AE387" s="7"/>
      <c r="AF387" s="7" t="s">
        <v>3601</v>
      </c>
      <c r="AG387" s="7"/>
      <c r="AH387" s="7"/>
      <c r="AI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 t="s">
        <v>3602</v>
      </c>
      <c r="W388" s="7"/>
      <c r="X388" s="7"/>
      <c r="Y388" s="7"/>
      <c r="Z388" s="7"/>
      <c r="AA388" s="7"/>
      <c r="AB388" s="7"/>
      <c r="AC388" s="7"/>
      <c r="AD388" s="7"/>
      <c r="AE388" s="7"/>
      <c r="AF388" s="7" t="s">
        <v>3603</v>
      </c>
      <c r="AG388" s="7"/>
      <c r="AH388" s="7"/>
      <c r="AI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 t="s">
        <v>3604</v>
      </c>
      <c r="W389" s="7"/>
      <c r="X389" s="7"/>
      <c r="Y389" s="7"/>
      <c r="Z389" s="7"/>
      <c r="AA389" s="7"/>
      <c r="AB389" s="7"/>
      <c r="AC389" s="7"/>
      <c r="AD389" s="7"/>
      <c r="AE389" s="7"/>
      <c r="AF389" s="7" t="s">
        <v>3605</v>
      </c>
      <c r="AG389" s="7"/>
      <c r="AH389" s="7"/>
      <c r="AI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 t="s">
        <v>3606</v>
      </c>
      <c r="W390" s="7"/>
      <c r="X390" s="7"/>
      <c r="Y390" s="7"/>
      <c r="Z390" s="7"/>
      <c r="AA390" s="7"/>
      <c r="AB390" s="7"/>
      <c r="AC390" s="7"/>
      <c r="AD390" s="7"/>
      <c r="AE390" s="7"/>
      <c r="AF390" s="7" t="s">
        <v>3607</v>
      </c>
      <c r="AG390" s="7"/>
      <c r="AH390" s="7"/>
      <c r="AI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 t="s">
        <v>3608</v>
      </c>
      <c r="W391" s="7"/>
      <c r="X391" s="7"/>
      <c r="Y391" s="7"/>
      <c r="Z391" s="7"/>
      <c r="AA391" s="7"/>
      <c r="AB391" s="7"/>
      <c r="AC391" s="7"/>
      <c r="AD391" s="7"/>
      <c r="AE391" s="7"/>
      <c r="AF391" s="7" t="s">
        <v>3609</v>
      </c>
      <c r="AG391" s="7"/>
      <c r="AH391" s="7"/>
      <c r="AI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 t="s">
        <v>3610</v>
      </c>
      <c r="W392" s="7"/>
      <c r="X392" s="7"/>
      <c r="Y392" s="7"/>
      <c r="Z392" s="7"/>
      <c r="AA392" s="7"/>
      <c r="AB392" s="7"/>
      <c r="AC392" s="7"/>
      <c r="AD392" s="7"/>
      <c r="AE392" s="7"/>
      <c r="AF392" s="7" t="s">
        <v>3611</v>
      </c>
      <c r="AG392" s="7"/>
      <c r="AH392" s="7"/>
      <c r="AI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 t="s">
        <v>3612</v>
      </c>
      <c r="W393" s="7"/>
      <c r="X393" s="7"/>
      <c r="Y393" s="7"/>
      <c r="Z393" s="7"/>
      <c r="AA393" s="7"/>
      <c r="AB393" s="7"/>
      <c r="AC393" s="7"/>
      <c r="AD393" s="7"/>
      <c r="AE393" s="7"/>
      <c r="AF393" s="7" t="s">
        <v>3613</v>
      </c>
      <c r="AG393" s="7"/>
      <c r="AH393" s="7"/>
      <c r="AI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 t="s">
        <v>3614</v>
      </c>
      <c r="W394" s="7"/>
      <c r="X394" s="7"/>
      <c r="Y394" s="7"/>
      <c r="Z394" s="7"/>
      <c r="AA394" s="7"/>
      <c r="AB394" s="7"/>
      <c r="AC394" s="7"/>
      <c r="AD394" s="7"/>
      <c r="AE394" s="7"/>
      <c r="AF394" s="7" t="s">
        <v>3615</v>
      </c>
      <c r="AG394" s="7"/>
      <c r="AH394" s="7"/>
      <c r="AI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 t="s">
        <v>3616</v>
      </c>
      <c r="W395" s="7"/>
      <c r="X395" s="7"/>
      <c r="Y395" s="7"/>
      <c r="Z395" s="7"/>
      <c r="AA395" s="7"/>
      <c r="AB395" s="7"/>
      <c r="AC395" s="7"/>
      <c r="AD395" s="7"/>
      <c r="AE395" s="7"/>
      <c r="AF395" s="7" t="s">
        <v>3617</v>
      </c>
      <c r="AG395" s="7"/>
      <c r="AH395" s="7"/>
      <c r="AI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 t="s">
        <v>3618</v>
      </c>
      <c r="W396" s="7"/>
      <c r="X396" s="7"/>
      <c r="Y396" s="7"/>
      <c r="Z396" s="7"/>
      <c r="AA396" s="7"/>
      <c r="AB396" s="7"/>
      <c r="AC396" s="7"/>
      <c r="AD396" s="7"/>
      <c r="AE396" s="7"/>
      <c r="AF396" s="7" t="s">
        <v>3619</v>
      </c>
      <c r="AG396" s="7"/>
      <c r="AH396" s="7"/>
      <c r="AI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 t="s">
        <v>3620</v>
      </c>
      <c r="W397" s="7"/>
      <c r="X397" s="7"/>
      <c r="Y397" s="7"/>
      <c r="Z397" s="7"/>
      <c r="AA397" s="7"/>
      <c r="AB397" s="7"/>
      <c r="AC397" s="7"/>
      <c r="AD397" s="7"/>
      <c r="AE397" s="7"/>
      <c r="AF397" s="7" t="s">
        <v>3621</v>
      </c>
      <c r="AG397" s="7"/>
      <c r="AH397" s="7"/>
      <c r="AI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 t="s">
        <v>3622</v>
      </c>
      <c r="W398" s="7"/>
      <c r="X398" s="7"/>
      <c r="Y398" s="7"/>
      <c r="Z398" s="7"/>
      <c r="AA398" s="7"/>
      <c r="AB398" s="7"/>
      <c r="AC398" s="7"/>
      <c r="AD398" s="7"/>
      <c r="AE398" s="7"/>
      <c r="AF398" s="7" t="s">
        <v>3623</v>
      </c>
      <c r="AG398" s="7"/>
      <c r="AH398" s="7"/>
      <c r="AI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 t="s">
        <v>3624</v>
      </c>
      <c r="W399" s="7"/>
      <c r="X399" s="7"/>
      <c r="Y399" s="7"/>
      <c r="Z399" s="7"/>
      <c r="AA399" s="7"/>
      <c r="AB399" s="7"/>
      <c r="AC399" s="7"/>
      <c r="AD399" s="7"/>
      <c r="AE399" s="7"/>
      <c r="AF399" s="7" t="s">
        <v>3625</v>
      </c>
      <c r="AG399" s="7"/>
      <c r="AH399" s="7"/>
      <c r="AI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 t="s">
        <v>3626</v>
      </c>
      <c r="W400" s="7"/>
      <c r="X400" s="7"/>
      <c r="Y400" s="7"/>
      <c r="Z400" s="7"/>
      <c r="AA400" s="7"/>
      <c r="AB400" s="7"/>
      <c r="AC400" s="7"/>
      <c r="AD400" s="7"/>
      <c r="AE400" s="7"/>
      <c r="AF400" s="7" t="s">
        <v>3627</v>
      </c>
      <c r="AG400" s="7"/>
      <c r="AH400" s="7"/>
      <c r="AI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 t="s">
        <v>3628</v>
      </c>
      <c r="W401" s="7"/>
      <c r="X401" s="7"/>
      <c r="Y401" s="7"/>
      <c r="Z401" s="7"/>
      <c r="AA401" s="7"/>
      <c r="AB401" s="7"/>
      <c r="AC401" s="7"/>
      <c r="AD401" s="7"/>
      <c r="AE401" s="7"/>
      <c r="AF401" s="7" t="s">
        <v>3629</v>
      </c>
      <c r="AG401" s="7"/>
      <c r="AH401" s="7"/>
      <c r="AI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 t="s">
        <v>3630</v>
      </c>
      <c r="W402" s="7"/>
      <c r="X402" s="7"/>
      <c r="Y402" s="7"/>
      <c r="Z402" s="7"/>
      <c r="AA402" s="7"/>
      <c r="AB402" s="7"/>
      <c r="AC402" s="7"/>
      <c r="AD402" s="7"/>
      <c r="AE402" s="7"/>
      <c r="AF402" s="7" t="s">
        <v>3631</v>
      </c>
      <c r="AG402" s="7"/>
      <c r="AH402" s="7"/>
      <c r="AI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 t="s">
        <v>3632</v>
      </c>
      <c r="W403" s="7"/>
      <c r="X403" s="7"/>
      <c r="Y403" s="7"/>
      <c r="Z403" s="7"/>
      <c r="AA403" s="7"/>
      <c r="AB403" s="7"/>
      <c r="AC403" s="7"/>
      <c r="AD403" s="7"/>
      <c r="AE403" s="7"/>
      <c r="AF403" s="7" t="s">
        <v>3633</v>
      </c>
      <c r="AG403" s="7"/>
      <c r="AH403" s="7"/>
      <c r="AI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 t="s">
        <v>3634</v>
      </c>
      <c r="W404" s="7"/>
      <c r="X404" s="7"/>
      <c r="Y404" s="7"/>
      <c r="Z404" s="7"/>
      <c r="AA404" s="7"/>
      <c r="AB404" s="7"/>
      <c r="AC404" s="7"/>
      <c r="AD404" s="7"/>
      <c r="AE404" s="7"/>
      <c r="AF404" s="7" t="s">
        <v>3635</v>
      </c>
      <c r="AG404" s="7"/>
      <c r="AH404" s="7"/>
      <c r="AI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 t="s">
        <v>3636</v>
      </c>
      <c r="W405" s="7"/>
      <c r="X405" s="7"/>
      <c r="Y405" s="7"/>
      <c r="Z405" s="7"/>
      <c r="AA405" s="7"/>
      <c r="AB405" s="7"/>
      <c r="AC405" s="7"/>
      <c r="AD405" s="7"/>
      <c r="AE405" s="7"/>
      <c r="AF405" s="7" t="s">
        <v>3637</v>
      </c>
      <c r="AG405" s="7"/>
      <c r="AH405" s="7"/>
      <c r="AI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 t="s">
        <v>3638</v>
      </c>
      <c r="W406" s="7"/>
      <c r="X406" s="7"/>
      <c r="Y406" s="7"/>
      <c r="Z406" s="7"/>
      <c r="AA406" s="7"/>
      <c r="AB406" s="7"/>
      <c r="AC406" s="7"/>
      <c r="AD406" s="7"/>
      <c r="AE406" s="7"/>
      <c r="AF406" s="7" t="s">
        <v>3639</v>
      </c>
      <c r="AG406" s="7"/>
      <c r="AH406" s="7"/>
      <c r="AI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 t="s">
        <v>3640</v>
      </c>
      <c r="W407" s="7"/>
      <c r="X407" s="7"/>
      <c r="Y407" s="7"/>
      <c r="Z407" s="7"/>
      <c r="AA407" s="7"/>
      <c r="AB407" s="7"/>
      <c r="AC407" s="7"/>
      <c r="AD407" s="7"/>
      <c r="AE407" s="7"/>
      <c r="AF407" s="7" t="s">
        <v>3641</v>
      </c>
      <c r="AG407" s="7"/>
      <c r="AH407" s="7"/>
      <c r="AI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 t="s">
        <v>3642</v>
      </c>
      <c r="W408" s="7"/>
      <c r="X408" s="7"/>
      <c r="Y408" s="7"/>
      <c r="Z408" s="7"/>
      <c r="AA408" s="7"/>
      <c r="AB408" s="7"/>
      <c r="AC408" s="7"/>
      <c r="AD408" s="7"/>
      <c r="AE408" s="7"/>
      <c r="AF408" s="7" t="s">
        <v>3643</v>
      </c>
      <c r="AG408" s="7"/>
      <c r="AH408" s="7"/>
      <c r="AI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 t="s">
        <v>3644</v>
      </c>
      <c r="W409" s="7"/>
      <c r="X409" s="7"/>
      <c r="Y409" s="7"/>
      <c r="Z409" s="7"/>
      <c r="AA409" s="7"/>
      <c r="AB409" s="7"/>
      <c r="AC409" s="7"/>
      <c r="AD409" s="7"/>
      <c r="AE409" s="7"/>
      <c r="AF409" s="7" t="s">
        <v>3645</v>
      </c>
      <c r="AG409" s="7"/>
      <c r="AH409" s="7"/>
      <c r="AI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 t="s">
        <v>3646</v>
      </c>
      <c r="W410" s="7"/>
      <c r="X410" s="7"/>
      <c r="Y410" s="7"/>
      <c r="Z410" s="7"/>
      <c r="AA410" s="7"/>
      <c r="AB410" s="7"/>
      <c r="AC410" s="7"/>
      <c r="AD410" s="7"/>
      <c r="AE410" s="7"/>
      <c r="AF410" s="7" t="s">
        <v>3647</v>
      </c>
      <c r="AG410" s="7"/>
      <c r="AH410" s="7"/>
      <c r="AI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 t="s">
        <v>3648</v>
      </c>
      <c r="W411" s="7"/>
      <c r="X411" s="7"/>
      <c r="Y411" s="7"/>
      <c r="Z411" s="7"/>
      <c r="AA411" s="7"/>
      <c r="AB411" s="7"/>
      <c r="AC411" s="7"/>
      <c r="AD411" s="7"/>
      <c r="AE411" s="7"/>
      <c r="AF411" s="7" t="s">
        <v>3649</v>
      </c>
      <c r="AG411" s="7"/>
      <c r="AH411" s="7"/>
      <c r="AI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 t="s">
        <v>3650</v>
      </c>
      <c r="W412" s="7"/>
      <c r="X412" s="7"/>
      <c r="Y412" s="7"/>
      <c r="Z412" s="7"/>
      <c r="AA412" s="7"/>
      <c r="AB412" s="7"/>
      <c r="AC412" s="7"/>
      <c r="AD412" s="7"/>
      <c r="AE412" s="7"/>
      <c r="AF412" s="7" t="s">
        <v>3651</v>
      </c>
      <c r="AG412" s="7"/>
      <c r="AH412" s="7"/>
      <c r="AI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 t="s">
        <v>3652</v>
      </c>
      <c r="W413" s="7"/>
      <c r="X413" s="7"/>
      <c r="Y413" s="7"/>
      <c r="Z413" s="7"/>
      <c r="AA413" s="7"/>
      <c r="AB413" s="7"/>
      <c r="AC413" s="7"/>
      <c r="AD413" s="7"/>
      <c r="AE413" s="7"/>
      <c r="AF413" s="7" t="s">
        <v>3653</v>
      </c>
      <c r="AG413" s="7"/>
      <c r="AH413" s="7"/>
      <c r="AI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 t="s">
        <v>3654</v>
      </c>
      <c r="W414" s="7"/>
      <c r="X414" s="7"/>
      <c r="Y414" s="7"/>
      <c r="Z414" s="7"/>
      <c r="AA414" s="7"/>
      <c r="AB414" s="7"/>
      <c r="AC414" s="7"/>
      <c r="AD414" s="7"/>
      <c r="AE414" s="7"/>
      <c r="AF414" s="7" t="s">
        <v>3655</v>
      </c>
      <c r="AG414" s="7"/>
      <c r="AH414" s="7"/>
      <c r="AI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 t="s">
        <v>3656</v>
      </c>
      <c r="W415" s="7"/>
      <c r="X415" s="7"/>
      <c r="Y415" s="7"/>
      <c r="Z415" s="7"/>
      <c r="AA415" s="7"/>
      <c r="AB415" s="7"/>
      <c r="AC415" s="7"/>
      <c r="AD415" s="7"/>
      <c r="AE415" s="7"/>
      <c r="AF415" s="7" t="s">
        <v>3657</v>
      </c>
      <c r="AG415" s="7"/>
      <c r="AH415" s="7"/>
      <c r="AI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 t="s">
        <v>3658</v>
      </c>
      <c r="W416" s="7"/>
      <c r="X416" s="7"/>
      <c r="Y416" s="7"/>
      <c r="Z416" s="7"/>
      <c r="AA416" s="7"/>
      <c r="AB416" s="7"/>
      <c r="AC416" s="7"/>
      <c r="AD416" s="7"/>
      <c r="AE416" s="7"/>
      <c r="AF416" s="7" t="s">
        <v>3659</v>
      </c>
      <c r="AG416" s="7"/>
      <c r="AH416" s="7"/>
      <c r="AI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 t="s">
        <v>3660</v>
      </c>
      <c r="W417" s="7"/>
      <c r="X417" s="7"/>
      <c r="Y417" s="7"/>
      <c r="Z417" s="7"/>
      <c r="AA417" s="7"/>
      <c r="AB417" s="7"/>
      <c r="AC417" s="7"/>
      <c r="AD417" s="7"/>
      <c r="AE417" s="7"/>
      <c r="AF417" s="7" t="s">
        <v>3661</v>
      </c>
      <c r="AG417" s="7"/>
      <c r="AH417" s="7"/>
      <c r="AI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 t="s">
        <v>3662</v>
      </c>
      <c r="W418" s="7"/>
      <c r="X418" s="7"/>
      <c r="Y418" s="7"/>
      <c r="Z418" s="7"/>
      <c r="AA418" s="7"/>
      <c r="AB418" s="7"/>
      <c r="AC418" s="7"/>
      <c r="AD418" s="7"/>
      <c r="AE418" s="7"/>
      <c r="AF418" s="7" t="s">
        <v>3663</v>
      </c>
      <c r="AG418" s="7"/>
      <c r="AH418" s="7"/>
      <c r="AI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 t="s">
        <v>3664</v>
      </c>
      <c r="W419" s="7"/>
      <c r="X419" s="7"/>
      <c r="Y419" s="7"/>
      <c r="Z419" s="7"/>
      <c r="AA419" s="7"/>
      <c r="AB419" s="7"/>
      <c r="AC419" s="7"/>
      <c r="AD419" s="7"/>
      <c r="AE419" s="7"/>
      <c r="AF419" s="7" t="s">
        <v>3665</v>
      </c>
      <c r="AG419" s="7"/>
      <c r="AH419" s="7"/>
      <c r="AI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 t="s">
        <v>3666</v>
      </c>
      <c r="W420" s="7"/>
      <c r="X420" s="7"/>
      <c r="Y420" s="7"/>
      <c r="Z420" s="7"/>
      <c r="AA420" s="7"/>
      <c r="AB420" s="7"/>
      <c r="AC420" s="7"/>
      <c r="AD420" s="7"/>
      <c r="AE420" s="7"/>
      <c r="AF420" s="7" t="s">
        <v>3667</v>
      </c>
      <c r="AG420" s="7"/>
      <c r="AH420" s="7"/>
      <c r="AI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 t="s">
        <v>3668</v>
      </c>
      <c r="W421" s="7"/>
      <c r="X421" s="7"/>
      <c r="Y421" s="7"/>
      <c r="Z421" s="7"/>
      <c r="AA421" s="7"/>
      <c r="AB421" s="7"/>
      <c r="AC421" s="7"/>
      <c r="AD421" s="7"/>
      <c r="AE421" s="7"/>
      <c r="AF421" s="7" t="s">
        <v>3669</v>
      </c>
      <c r="AG421" s="7"/>
      <c r="AH421" s="7"/>
      <c r="AI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 t="s">
        <v>3670</v>
      </c>
      <c r="W422" s="7"/>
      <c r="X422" s="7"/>
      <c r="Y422" s="7"/>
      <c r="Z422" s="7"/>
      <c r="AA422" s="7"/>
      <c r="AB422" s="7"/>
      <c r="AC422" s="7"/>
      <c r="AD422" s="7"/>
      <c r="AE422" s="7"/>
      <c r="AF422" s="7" t="s">
        <v>3671</v>
      </c>
      <c r="AG422" s="7"/>
      <c r="AH422" s="7"/>
      <c r="AI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 t="s">
        <v>3672</v>
      </c>
      <c r="W423" s="7"/>
      <c r="X423" s="7"/>
      <c r="Y423" s="7"/>
      <c r="Z423" s="7"/>
      <c r="AA423" s="7"/>
      <c r="AB423" s="7"/>
      <c r="AC423" s="7"/>
      <c r="AD423" s="7"/>
      <c r="AE423" s="7"/>
      <c r="AF423" s="7" t="s">
        <v>3673</v>
      </c>
      <c r="AG423" s="7"/>
      <c r="AH423" s="7"/>
      <c r="AI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 t="s">
        <v>3674</v>
      </c>
      <c r="W424" s="7"/>
      <c r="X424" s="7"/>
      <c r="Y424" s="7"/>
      <c r="Z424" s="7"/>
      <c r="AA424" s="7"/>
      <c r="AB424" s="7"/>
      <c r="AC424" s="7"/>
      <c r="AD424" s="7"/>
      <c r="AE424" s="7"/>
      <c r="AF424" s="7" t="s">
        <v>3675</v>
      </c>
      <c r="AG424" s="7"/>
      <c r="AH424" s="7"/>
      <c r="AI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 t="s">
        <v>3676</v>
      </c>
      <c r="W425" s="7"/>
      <c r="X425" s="7"/>
      <c r="Y425" s="7"/>
      <c r="Z425" s="7"/>
      <c r="AA425" s="7"/>
      <c r="AB425" s="7"/>
      <c r="AC425" s="7"/>
      <c r="AD425" s="7"/>
      <c r="AE425" s="7"/>
      <c r="AF425" s="7" t="s">
        <v>3677</v>
      </c>
      <c r="AG425" s="7"/>
      <c r="AH425" s="7"/>
      <c r="AI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 t="s">
        <v>3678</v>
      </c>
      <c r="W426" s="7"/>
      <c r="X426" s="7"/>
      <c r="Y426" s="7"/>
      <c r="Z426" s="7"/>
      <c r="AA426" s="7"/>
      <c r="AB426" s="7"/>
      <c r="AC426" s="7"/>
      <c r="AD426" s="7"/>
      <c r="AE426" s="7"/>
      <c r="AF426" s="7" t="s">
        <v>3679</v>
      </c>
      <c r="AG426" s="7"/>
      <c r="AH426" s="7"/>
      <c r="AI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 t="s">
        <v>3680</v>
      </c>
      <c r="W427" s="7"/>
      <c r="X427" s="7"/>
      <c r="Y427" s="7"/>
      <c r="Z427" s="7"/>
      <c r="AA427" s="7"/>
      <c r="AB427" s="7"/>
      <c r="AC427" s="7"/>
      <c r="AD427" s="7"/>
      <c r="AE427" s="7"/>
      <c r="AF427" s="7" t="s">
        <v>3681</v>
      </c>
      <c r="AG427" s="7"/>
      <c r="AH427" s="7"/>
      <c r="AI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 t="s">
        <v>3682</v>
      </c>
      <c r="W428" s="7"/>
      <c r="X428" s="7"/>
      <c r="Y428" s="7"/>
      <c r="Z428" s="7"/>
      <c r="AA428" s="7"/>
      <c r="AB428" s="7"/>
      <c r="AC428" s="7"/>
      <c r="AD428" s="7"/>
      <c r="AE428" s="7"/>
      <c r="AF428" s="7" t="s">
        <v>3683</v>
      </c>
      <c r="AG428" s="7"/>
      <c r="AH428" s="7"/>
      <c r="AI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 t="s">
        <v>3684</v>
      </c>
      <c r="W429" s="7"/>
      <c r="X429" s="7"/>
      <c r="Y429" s="7"/>
      <c r="Z429" s="7"/>
      <c r="AA429" s="7"/>
      <c r="AB429" s="7"/>
      <c r="AC429" s="7"/>
      <c r="AD429" s="7"/>
      <c r="AE429" s="7"/>
      <c r="AF429" s="7" t="s">
        <v>3685</v>
      </c>
      <c r="AG429" s="7"/>
      <c r="AH429" s="7"/>
      <c r="AI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 t="s">
        <v>3686</v>
      </c>
      <c r="W430" s="7"/>
      <c r="X430" s="7"/>
      <c r="Y430" s="7"/>
      <c r="Z430" s="7"/>
      <c r="AA430" s="7"/>
      <c r="AB430" s="7"/>
      <c r="AC430" s="7"/>
      <c r="AD430" s="7"/>
      <c r="AE430" s="7"/>
      <c r="AF430" s="7" t="s">
        <v>3687</v>
      </c>
      <c r="AG430" s="7"/>
      <c r="AH430" s="7"/>
      <c r="AI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 t="s">
        <v>3688</v>
      </c>
      <c r="W431" s="7"/>
      <c r="X431" s="7"/>
      <c r="Y431" s="7"/>
      <c r="Z431" s="7"/>
      <c r="AA431" s="7"/>
      <c r="AB431" s="7"/>
      <c r="AC431" s="7"/>
      <c r="AD431" s="7"/>
      <c r="AE431" s="7"/>
      <c r="AF431" s="7" t="s">
        <v>3689</v>
      </c>
      <c r="AG431" s="7"/>
      <c r="AH431" s="7"/>
      <c r="AI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 t="s">
        <v>3690</v>
      </c>
      <c r="W432" s="7"/>
      <c r="X432" s="7"/>
      <c r="Y432" s="7"/>
      <c r="Z432" s="7"/>
      <c r="AA432" s="7"/>
      <c r="AB432" s="7"/>
      <c r="AC432" s="7"/>
      <c r="AD432" s="7"/>
      <c r="AE432" s="7"/>
      <c r="AF432" s="7" t="s">
        <v>3691</v>
      </c>
      <c r="AG432" s="7"/>
      <c r="AH432" s="7"/>
      <c r="AI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 t="s">
        <v>3692</v>
      </c>
      <c r="W433" s="7"/>
      <c r="X433" s="7"/>
      <c r="Y433" s="7"/>
      <c r="Z433" s="7"/>
      <c r="AA433" s="7"/>
      <c r="AB433" s="7"/>
      <c r="AC433" s="7"/>
      <c r="AD433" s="7"/>
      <c r="AE433" s="7"/>
      <c r="AF433" s="7" t="s">
        <v>3693</v>
      </c>
      <c r="AG433" s="7"/>
      <c r="AH433" s="7"/>
      <c r="AI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 t="s">
        <v>3694</v>
      </c>
      <c r="W434" s="7"/>
      <c r="X434" s="7"/>
      <c r="Y434" s="7"/>
      <c r="Z434" s="7"/>
      <c r="AA434" s="7"/>
      <c r="AB434" s="7"/>
      <c r="AC434" s="7"/>
      <c r="AD434" s="7"/>
      <c r="AE434" s="7"/>
      <c r="AF434" s="7" t="s">
        <v>3695</v>
      </c>
      <c r="AG434" s="7"/>
      <c r="AH434" s="7"/>
      <c r="AI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 t="s">
        <v>3696</v>
      </c>
      <c r="W435" s="7"/>
      <c r="X435" s="7"/>
      <c r="Y435" s="7"/>
      <c r="Z435" s="7"/>
      <c r="AA435" s="7"/>
      <c r="AB435" s="7"/>
      <c r="AC435" s="7"/>
      <c r="AD435" s="7"/>
      <c r="AE435" s="7"/>
      <c r="AF435" s="7" t="s">
        <v>3697</v>
      </c>
      <c r="AG435" s="7"/>
      <c r="AH435" s="7"/>
      <c r="AI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 t="s">
        <v>3698</v>
      </c>
      <c r="W436" s="7"/>
      <c r="X436" s="7"/>
      <c r="Y436" s="7"/>
      <c r="Z436" s="7"/>
      <c r="AA436" s="7"/>
      <c r="AB436" s="7"/>
      <c r="AC436" s="7"/>
      <c r="AD436" s="7"/>
      <c r="AE436" s="7"/>
      <c r="AF436" s="7" t="s">
        <v>3699</v>
      </c>
      <c r="AG436" s="7"/>
      <c r="AH436" s="7"/>
      <c r="AI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 t="s">
        <v>3700</v>
      </c>
      <c r="W437" s="7"/>
      <c r="X437" s="7"/>
      <c r="Y437" s="7"/>
      <c r="Z437" s="7"/>
      <c r="AA437" s="7"/>
      <c r="AB437" s="7"/>
      <c r="AC437" s="7"/>
      <c r="AD437" s="7"/>
      <c r="AE437" s="7"/>
      <c r="AF437" s="7" t="s">
        <v>3701</v>
      </c>
      <c r="AG437" s="7"/>
      <c r="AH437" s="7"/>
      <c r="AI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 t="s">
        <v>3702</v>
      </c>
      <c r="W438" s="7"/>
      <c r="X438" s="7"/>
      <c r="Y438" s="7"/>
      <c r="Z438" s="7"/>
      <c r="AA438" s="7"/>
      <c r="AB438" s="7"/>
      <c r="AC438" s="7"/>
      <c r="AD438" s="7"/>
      <c r="AE438" s="7"/>
      <c r="AF438" s="7" t="s">
        <v>3703</v>
      </c>
      <c r="AG438" s="7"/>
      <c r="AH438" s="7"/>
      <c r="AI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 t="s">
        <v>3704</v>
      </c>
      <c r="W439" s="7"/>
      <c r="X439" s="7"/>
      <c r="Y439" s="7"/>
      <c r="Z439" s="7"/>
      <c r="AA439" s="7"/>
      <c r="AB439" s="7"/>
      <c r="AC439" s="7"/>
      <c r="AD439" s="7"/>
      <c r="AE439" s="7"/>
      <c r="AF439" s="7" t="s">
        <v>3705</v>
      </c>
      <c r="AG439" s="7"/>
      <c r="AH439" s="7"/>
      <c r="AI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 t="s">
        <v>3706</v>
      </c>
      <c r="W440" s="7"/>
      <c r="X440" s="7"/>
      <c r="Y440" s="7"/>
      <c r="Z440" s="7"/>
      <c r="AA440" s="7"/>
      <c r="AB440" s="7"/>
      <c r="AC440" s="7"/>
      <c r="AD440" s="7"/>
      <c r="AE440" s="7"/>
      <c r="AF440" s="7" t="s">
        <v>3707</v>
      </c>
      <c r="AG440" s="7"/>
      <c r="AH440" s="7"/>
      <c r="AI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 t="s">
        <v>3708</v>
      </c>
      <c r="W441" s="7"/>
      <c r="X441" s="7"/>
      <c r="Y441" s="7"/>
      <c r="Z441" s="7"/>
      <c r="AA441" s="7"/>
      <c r="AB441" s="7"/>
      <c r="AC441" s="7"/>
      <c r="AD441" s="7"/>
      <c r="AE441" s="7"/>
      <c r="AF441" s="7" t="s">
        <v>3709</v>
      </c>
      <c r="AG441" s="7"/>
      <c r="AH441" s="7"/>
      <c r="AI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 t="s">
        <v>3710</v>
      </c>
      <c r="W442" s="7"/>
      <c r="X442" s="7"/>
      <c r="Y442" s="7"/>
      <c r="Z442" s="7"/>
      <c r="AA442" s="7"/>
      <c r="AB442" s="7"/>
      <c r="AC442" s="7"/>
      <c r="AD442" s="7"/>
      <c r="AE442" s="7"/>
      <c r="AF442" s="7" t="s">
        <v>3711</v>
      </c>
      <c r="AG442" s="7"/>
      <c r="AH442" s="7"/>
      <c r="AI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 t="s">
        <v>3712</v>
      </c>
      <c r="W443" s="7"/>
      <c r="X443" s="7"/>
      <c r="Y443" s="7"/>
      <c r="Z443" s="7"/>
      <c r="AA443" s="7"/>
      <c r="AB443" s="7"/>
      <c r="AC443" s="7"/>
      <c r="AD443" s="7"/>
      <c r="AE443" s="7"/>
      <c r="AF443" s="7" t="s">
        <v>3713</v>
      </c>
      <c r="AG443" s="7"/>
      <c r="AH443" s="7"/>
      <c r="AI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 t="s">
        <v>3714</v>
      </c>
      <c r="W444" s="7"/>
      <c r="X444" s="7"/>
      <c r="Y444" s="7"/>
      <c r="Z444" s="7"/>
      <c r="AA444" s="7"/>
      <c r="AB444" s="7"/>
      <c r="AC444" s="7"/>
      <c r="AD444" s="7"/>
      <c r="AE444" s="7"/>
      <c r="AF444" s="7" t="s">
        <v>3715</v>
      </c>
      <c r="AG444" s="7"/>
      <c r="AH444" s="7"/>
      <c r="AI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 t="s">
        <v>3716</v>
      </c>
      <c r="W445" s="7"/>
      <c r="X445" s="7"/>
      <c r="Y445" s="7"/>
      <c r="Z445" s="7"/>
      <c r="AA445" s="7"/>
      <c r="AB445" s="7"/>
      <c r="AC445" s="7"/>
      <c r="AD445" s="7"/>
      <c r="AE445" s="7"/>
      <c r="AF445" s="7" t="s">
        <v>3717</v>
      </c>
      <c r="AG445" s="7"/>
      <c r="AH445" s="7"/>
      <c r="AI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 t="s">
        <v>3718</v>
      </c>
      <c r="W446" s="7"/>
      <c r="X446" s="7"/>
      <c r="Y446" s="7"/>
      <c r="Z446" s="7"/>
      <c r="AA446" s="7"/>
      <c r="AB446" s="7"/>
      <c r="AC446" s="7"/>
      <c r="AD446" s="7"/>
      <c r="AE446" s="7"/>
      <c r="AF446" s="7" t="s">
        <v>3719</v>
      </c>
      <c r="AG446" s="7"/>
      <c r="AH446" s="7"/>
      <c r="AI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 t="s">
        <v>3720</v>
      </c>
      <c r="W447" s="7"/>
      <c r="X447" s="7"/>
      <c r="Y447" s="7"/>
      <c r="Z447" s="7"/>
      <c r="AA447" s="7"/>
      <c r="AB447" s="7"/>
      <c r="AC447" s="7"/>
      <c r="AD447" s="7"/>
      <c r="AE447" s="7"/>
      <c r="AF447" s="7" t="s">
        <v>3721</v>
      </c>
      <c r="AG447" s="7"/>
      <c r="AH447" s="7"/>
      <c r="AI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 t="s">
        <v>3722</v>
      </c>
      <c r="W448" s="7"/>
      <c r="X448" s="7"/>
      <c r="Y448" s="7"/>
      <c r="Z448" s="7"/>
      <c r="AA448" s="7"/>
      <c r="AB448" s="7"/>
      <c r="AC448" s="7"/>
      <c r="AD448" s="7"/>
      <c r="AE448" s="7"/>
      <c r="AF448" s="7" t="s">
        <v>3723</v>
      </c>
      <c r="AG448" s="7"/>
      <c r="AH448" s="7"/>
      <c r="AI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 t="s">
        <v>3724</v>
      </c>
      <c r="W449" s="7"/>
      <c r="X449" s="7"/>
      <c r="Y449" s="7"/>
      <c r="Z449" s="7"/>
      <c r="AA449" s="7"/>
      <c r="AB449" s="7"/>
      <c r="AC449" s="7"/>
      <c r="AD449" s="7"/>
      <c r="AE449" s="7"/>
      <c r="AF449" s="7" t="s">
        <v>3725</v>
      </c>
      <c r="AG449" s="7"/>
      <c r="AH449" s="7"/>
      <c r="AI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 t="s">
        <v>3726</v>
      </c>
      <c r="W450" s="7"/>
      <c r="X450" s="7"/>
      <c r="Y450" s="7"/>
      <c r="Z450" s="7"/>
      <c r="AA450" s="7"/>
      <c r="AB450" s="7"/>
      <c r="AC450" s="7"/>
      <c r="AD450" s="7"/>
      <c r="AE450" s="7"/>
      <c r="AF450" s="7" t="s">
        <v>3727</v>
      </c>
      <c r="AG450" s="7"/>
      <c r="AH450" s="7"/>
      <c r="AI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 t="s">
        <v>3728</v>
      </c>
      <c r="W451" s="7"/>
      <c r="X451" s="7"/>
      <c r="Y451" s="7"/>
      <c r="Z451" s="7"/>
      <c r="AA451" s="7"/>
      <c r="AB451" s="7"/>
      <c r="AC451" s="7"/>
      <c r="AD451" s="7"/>
      <c r="AE451" s="7"/>
      <c r="AF451" s="7" t="s">
        <v>3729</v>
      </c>
      <c r="AG451" s="7"/>
      <c r="AH451" s="7"/>
      <c r="AI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 t="s">
        <v>3730</v>
      </c>
      <c r="W452" s="7"/>
      <c r="X452" s="7"/>
      <c r="Y452" s="7"/>
      <c r="Z452" s="7"/>
      <c r="AA452" s="7"/>
      <c r="AB452" s="7"/>
      <c r="AC452" s="7"/>
      <c r="AD452" s="7"/>
      <c r="AE452" s="7"/>
      <c r="AF452" s="7" t="s">
        <v>3731</v>
      </c>
      <c r="AG452" s="7"/>
      <c r="AH452" s="7"/>
      <c r="AI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 t="s">
        <v>3732</v>
      </c>
      <c r="W453" s="7"/>
      <c r="X453" s="7"/>
      <c r="Y453" s="7"/>
      <c r="Z453" s="7"/>
      <c r="AA453" s="7"/>
      <c r="AB453" s="7"/>
      <c r="AC453" s="7"/>
      <c r="AD453" s="7"/>
      <c r="AE453" s="7"/>
      <c r="AF453" s="7" t="s">
        <v>3733</v>
      </c>
      <c r="AG453" s="7"/>
      <c r="AH453" s="7"/>
      <c r="AI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 t="s">
        <v>3734</v>
      </c>
      <c r="W454" s="7"/>
      <c r="X454" s="7"/>
      <c r="Y454" s="7"/>
      <c r="Z454" s="7"/>
      <c r="AA454" s="7"/>
      <c r="AB454" s="7"/>
      <c r="AC454" s="7"/>
      <c r="AD454" s="7"/>
      <c r="AE454" s="7"/>
      <c r="AF454" s="7" t="s">
        <v>3735</v>
      </c>
      <c r="AG454" s="7"/>
      <c r="AH454" s="7"/>
      <c r="AI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 t="s">
        <v>3736</v>
      </c>
      <c r="W455" s="7"/>
      <c r="X455" s="7"/>
      <c r="Y455" s="7"/>
      <c r="Z455" s="7"/>
      <c r="AA455" s="7"/>
      <c r="AB455" s="7"/>
      <c r="AC455" s="7"/>
      <c r="AD455" s="7"/>
      <c r="AE455" s="7"/>
      <c r="AF455" s="7" t="s">
        <v>3737</v>
      </c>
      <c r="AG455" s="7"/>
      <c r="AH455" s="7"/>
      <c r="AI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 t="s">
        <v>3738</v>
      </c>
      <c r="W456" s="7"/>
      <c r="X456" s="7"/>
      <c r="Y456" s="7"/>
      <c r="Z456" s="7"/>
      <c r="AA456" s="7"/>
      <c r="AB456" s="7"/>
      <c r="AC456" s="7"/>
      <c r="AD456" s="7"/>
      <c r="AE456" s="7"/>
      <c r="AF456" s="7" t="s">
        <v>3739</v>
      </c>
      <c r="AG456" s="7"/>
      <c r="AH456" s="7"/>
      <c r="AI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 t="s">
        <v>3740</v>
      </c>
      <c r="W457" s="7"/>
      <c r="X457" s="7"/>
      <c r="Y457" s="7"/>
      <c r="Z457" s="7"/>
      <c r="AA457" s="7"/>
      <c r="AB457" s="7"/>
      <c r="AC457" s="7"/>
      <c r="AD457" s="7"/>
      <c r="AE457" s="7"/>
      <c r="AF457" s="7" t="s">
        <v>3741</v>
      </c>
      <c r="AG457" s="7"/>
      <c r="AH457" s="7"/>
      <c r="AI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 t="s">
        <v>3742</v>
      </c>
      <c r="W458" s="7"/>
      <c r="X458" s="7"/>
      <c r="Y458" s="7"/>
      <c r="Z458" s="7"/>
      <c r="AA458" s="7"/>
      <c r="AB458" s="7"/>
      <c r="AC458" s="7"/>
      <c r="AD458" s="7"/>
      <c r="AE458" s="7"/>
      <c r="AF458" s="7" t="s">
        <v>3743</v>
      </c>
      <c r="AG458" s="7"/>
      <c r="AH458" s="7"/>
      <c r="AI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 t="s">
        <v>3744</v>
      </c>
      <c r="W459" s="7"/>
      <c r="X459" s="7"/>
      <c r="Y459" s="7"/>
      <c r="Z459" s="7"/>
      <c r="AA459" s="7"/>
      <c r="AB459" s="7"/>
      <c r="AC459" s="7"/>
      <c r="AD459" s="7"/>
      <c r="AE459" s="7"/>
      <c r="AF459" s="7" t="s">
        <v>3745</v>
      </c>
      <c r="AG459" s="7"/>
      <c r="AH459" s="7"/>
      <c r="AI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 t="s">
        <v>3746</v>
      </c>
      <c r="W460" s="7"/>
      <c r="X460" s="7"/>
      <c r="Y460" s="7"/>
      <c r="Z460" s="7"/>
      <c r="AA460" s="7"/>
      <c r="AB460" s="7"/>
      <c r="AC460" s="7"/>
      <c r="AD460" s="7"/>
      <c r="AE460" s="7"/>
      <c r="AF460" s="7" t="s">
        <v>3747</v>
      </c>
      <c r="AG460" s="7"/>
      <c r="AH460" s="7"/>
      <c r="AI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 t="s">
        <v>3748</v>
      </c>
      <c r="W461" s="7"/>
      <c r="X461" s="7"/>
      <c r="Y461" s="7"/>
      <c r="Z461" s="7"/>
      <c r="AA461" s="7"/>
      <c r="AB461" s="7"/>
      <c r="AC461" s="7"/>
      <c r="AD461" s="7"/>
      <c r="AE461" s="7"/>
      <c r="AF461" s="7" t="s">
        <v>3749</v>
      </c>
      <c r="AG461" s="7"/>
      <c r="AH461" s="7"/>
      <c r="AI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 t="s">
        <v>3750</v>
      </c>
      <c r="W462" s="7"/>
      <c r="X462" s="7"/>
      <c r="Y462" s="7"/>
      <c r="Z462" s="7"/>
      <c r="AA462" s="7"/>
      <c r="AB462" s="7"/>
      <c r="AC462" s="7"/>
      <c r="AD462" s="7"/>
      <c r="AE462" s="7"/>
      <c r="AF462" s="7" t="s">
        <v>3751</v>
      </c>
      <c r="AG462" s="7"/>
      <c r="AH462" s="7"/>
      <c r="AI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 t="s">
        <v>3752</v>
      </c>
      <c r="W463" s="7"/>
      <c r="X463" s="7"/>
      <c r="Y463" s="7"/>
      <c r="Z463" s="7"/>
      <c r="AA463" s="7"/>
      <c r="AB463" s="7"/>
      <c r="AC463" s="7"/>
      <c r="AD463" s="7"/>
      <c r="AE463" s="7"/>
      <c r="AF463" s="7" t="s">
        <v>3753</v>
      </c>
      <c r="AG463" s="7"/>
      <c r="AH463" s="7"/>
      <c r="AI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 t="s">
        <v>3754</v>
      </c>
      <c r="W464" s="7"/>
      <c r="X464" s="7"/>
      <c r="Y464" s="7"/>
      <c r="Z464" s="7"/>
      <c r="AA464" s="7"/>
      <c r="AB464" s="7"/>
      <c r="AC464" s="7"/>
      <c r="AD464" s="7"/>
      <c r="AE464" s="7"/>
      <c r="AF464" s="7" t="s">
        <v>3755</v>
      </c>
      <c r="AG464" s="7"/>
      <c r="AH464" s="7"/>
      <c r="AI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 t="s">
        <v>3756</v>
      </c>
      <c r="W465" s="7"/>
      <c r="X465" s="7"/>
      <c r="Y465" s="7"/>
      <c r="Z465" s="7"/>
      <c r="AA465" s="7"/>
      <c r="AB465" s="7"/>
      <c r="AC465" s="7"/>
      <c r="AD465" s="7"/>
      <c r="AE465" s="7"/>
      <c r="AF465" s="7" t="s">
        <v>3757</v>
      </c>
      <c r="AG465" s="7"/>
      <c r="AH465" s="7"/>
      <c r="AI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 t="s">
        <v>3758</v>
      </c>
      <c r="W466" s="7"/>
      <c r="X466" s="7"/>
      <c r="Y466" s="7"/>
      <c r="Z466" s="7"/>
      <c r="AA466" s="7"/>
      <c r="AB466" s="7"/>
      <c r="AC466" s="7"/>
      <c r="AD466" s="7"/>
      <c r="AE466" s="7"/>
      <c r="AF466" s="7" t="s">
        <v>3759</v>
      </c>
      <c r="AG466" s="7"/>
      <c r="AH466" s="7"/>
      <c r="AI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 t="s">
        <v>3760</v>
      </c>
      <c r="W467" s="7"/>
      <c r="X467" s="7"/>
      <c r="Y467" s="7"/>
      <c r="Z467" s="7"/>
      <c r="AA467" s="7"/>
      <c r="AB467" s="7"/>
      <c r="AC467" s="7"/>
      <c r="AD467" s="7"/>
      <c r="AE467" s="7"/>
      <c r="AF467" s="7" t="s">
        <v>3761</v>
      </c>
      <c r="AG467" s="7"/>
      <c r="AH467" s="7"/>
      <c r="AI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 t="s">
        <v>3762</v>
      </c>
      <c r="W468" s="7"/>
      <c r="X468" s="7"/>
      <c r="Y468" s="7"/>
      <c r="Z468" s="7"/>
      <c r="AA468" s="7"/>
      <c r="AB468" s="7"/>
      <c r="AC468" s="7"/>
      <c r="AD468" s="7"/>
      <c r="AE468" s="7"/>
      <c r="AF468" s="7" t="s">
        <v>3763</v>
      </c>
      <c r="AG468" s="7"/>
      <c r="AH468" s="7"/>
      <c r="AI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 t="s">
        <v>3764</v>
      </c>
      <c r="W469" s="7"/>
      <c r="X469" s="7"/>
      <c r="Y469" s="7"/>
      <c r="Z469" s="7"/>
      <c r="AA469" s="7"/>
      <c r="AB469" s="7"/>
      <c r="AC469" s="7"/>
      <c r="AD469" s="7"/>
      <c r="AE469" s="7"/>
      <c r="AF469" s="7" t="s">
        <v>3765</v>
      </c>
      <c r="AG469" s="7"/>
      <c r="AH469" s="7"/>
      <c r="AI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 t="s">
        <v>3766</v>
      </c>
      <c r="W470" s="7"/>
      <c r="X470" s="7"/>
      <c r="Y470" s="7"/>
      <c r="Z470" s="7"/>
      <c r="AA470" s="7"/>
      <c r="AB470" s="7"/>
      <c r="AC470" s="7"/>
      <c r="AD470" s="7"/>
      <c r="AE470" s="7"/>
      <c r="AF470" s="7" t="s">
        <v>3767</v>
      </c>
      <c r="AG470" s="7"/>
      <c r="AH470" s="7"/>
      <c r="AI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 t="s">
        <v>3768</v>
      </c>
      <c r="W471" s="7"/>
      <c r="X471" s="7"/>
      <c r="Y471" s="7"/>
      <c r="Z471" s="7"/>
      <c r="AA471" s="7"/>
      <c r="AB471" s="7"/>
      <c r="AC471" s="7"/>
      <c r="AD471" s="7"/>
      <c r="AE471" s="7"/>
      <c r="AF471" s="7" t="s">
        <v>3769</v>
      </c>
      <c r="AG471" s="7"/>
      <c r="AH471" s="7"/>
      <c r="AI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 t="s">
        <v>3770</v>
      </c>
      <c r="W472" s="7"/>
      <c r="X472" s="7"/>
      <c r="Y472" s="7"/>
      <c r="Z472" s="7"/>
      <c r="AA472" s="7"/>
      <c r="AB472" s="7"/>
      <c r="AC472" s="7"/>
      <c r="AD472" s="7"/>
      <c r="AE472" s="7"/>
      <c r="AF472" s="7" t="s">
        <v>3771</v>
      </c>
      <c r="AG472" s="7"/>
      <c r="AH472" s="7"/>
      <c r="AI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 t="s">
        <v>3772</v>
      </c>
      <c r="W473" s="7"/>
      <c r="X473" s="7"/>
      <c r="Y473" s="7"/>
      <c r="Z473" s="7"/>
      <c r="AA473" s="7"/>
      <c r="AB473" s="7"/>
      <c r="AC473" s="7"/>
      <c r="AD473" s="7"/>
      <c r="AE473" s="7"/>
      <c r="AF473" s="7" t="s">
        <v>3773</v>
      </c>
      <c r="AG473" s="7"/>
      <c r="AH473" s="7"/>
      <c r="AI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 t="s">
        <v>3774</v>
      </c>
      <c r="W474" s="7"/>
      <c r="X474" s="7"/>
      <c r="Y474" s="7"/>
      <c r="Z474" s="7"/>
      <c r="AA474" s="7"/>
      <c r="AB474" s="7"/>
      <c r="AC474" s="7"/>
      <c r="AD474" s="7"/>
      <c r="AE474" s="7"/>
      <c r="AF474" s="7" t="s">
        <v>3775</v>
      </c>
      <c r="AG474" s="7"/>
      <c r="AH474" s="7"/>
      <c r="AI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 t="s">
        <v>3776</v>
      </c>
      <c r="W475" s="7"/>
      <c r="X475" s="7"/>
      <c r="Y475" s="7"/>
      <c r="Z475" s="7"/>
      <c r="AA475" s="7"/>
      <c r="AB475" s="7"/>
      <c r="AC475" s="7"/>
      <c r="AD475" s="7"/>
      <c r="AE475" s="7"/>
      <c r="AF475" s="7" t="s">
        <v>3777</v>
      </c>
      <c r="AG475" s="7"/>
      <c r="AH475" s="7"/>
      <c r="AI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 t="s">
        <v>3778</v>
      </c>
      <c r="W476" s="7"/>
      <c r="X476" s="7"/>
      <c r="Y476" s="7"/>
      <c r="Z476" s="7"/>
      <c r="AA476" s="7"/>
      <c r="AB476" s="7"/>
      <c r="AC476" s="7"/>
      <c r="AD476" s="7"/>
      <c r="AE476" s="7"/>
      <c r="AF476" s="7" t="s">
        <v>3779</v>
      </c>
      <c r="AG476" s="7"/>
      <c r="AH476" s="7"/>
      <c r="AI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 t="s">
        <v>3780</v>
      </c>
      <c r="W477" s="7"/>
      <c r="X477" s="7"/>
      <c r="Y477" s="7"/>
      <c r="Z477" s="7"/>
      <c r="AA477" s="7"/>
      <c r="AB477" s="7"/>
      <c r="AC477" s="7"/>
      <c r="AD477" s="7"/>
      <c r="AE477" s="7"/>
      <c r="AF477" s="7" t="s">
        <v>3781</v>
      </c>
      <c r="AG477" s="7"/>
      <c r="AH477" s="7"/>
      <c r="AI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 t="s">
        <v>3782</v>
      </c>
      <c r="W478" s="7"/>
      <c r="X478" s="7"/>
      <c r="Y478" s="7"/>
      <c r="Z478" s="7"/>
      <c r="AA478" s="7"/>
      <c r="AB478" s="7"/>
      <c r="AC478" s="7"/>
      <c r="AD478" s="7"/>
      <c r="AE478" s="7"/>
      <c r="AF478" s="7" t="s">
        <v>3783</v>
      </c>
      <c r="AG478" s="7"/>
      <c r="AH478" s="7"/>
      <c r="AI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 t="s">
        <v>3784</v>
      </c>
      <c r="W479" s="7"/>
      <c r="X479" s="7"/>
      <c r="Y479" s="7"/>
      <c r="Z479" s="7"/>
      <c r="AA479" s="7"/>
      <c r="AB479" s="7"/>
      <c r="AC479" s="7"/>
      <c r="AD479" s="7"/>
      <c r="AE479" s="7"/>
      <c r="AF479" s="7" t="s">
        <v>3785</v>
      </c>
      <c r="AG479" s="7"/>
      <c r="AH479" s="7"/>
      <c r="AI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 t="s">
        <v>3786</v>
      </c>
      <c r="W480" s="7"/>
      <c r="X480" s="7"/>
      <c r="Y480" s="7"/>
      <c r="Z480" s="7"/>
      <c r="AA480" s="7"/>
      <c r="AB480" s="7"/>
      <c r="AC480" s="7"/>
      <c r="AD480" s="7"/>
      <c r="AE480" s="7"/>
      <c r="AF480" s="7" t="s">
        <v>3787</v>
      </c>
      <c r="AG480" s="7"/>
      <c r="AH480" s="7"/>
      <c r="AI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 t="s">
        <v>3788</v>
      </c>
      <c r="W481" s="7"/>
      <c r="X481" s="7"/>
      <c r="Y481" s="7"/>
      <c r="Z481" s="7"/>
      <c r="AA481" s="7"/>
      <c r="AB481" s="7"/>
      <c r="AC481" s="7"/>
      <c r="AD481" s="7"/>
      <c r="AE481" s="7"/>
      <c r="AF481" s="7" t="s">
        <v>3789</v>
      </c>
      <c r="AG481" s="7"/>
      <c r="AH481" s="7"/>
      <c r="AI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 t="s">
        <v>3790</v>
      </c>
      <c r="W482" s="7"/>
      <c r="X482" s="7"/>
      <c r="Y482" s="7"/>
      <c r="Z482" s="7"/>
      <c r="AA482" s="7"/>
      <c r="AB482" s="7"/>
      <c r="AC482" s="7"/>
      <c r="AD482" s="7"/>
      <c r="AE482" s="7"/>
      <c r="AF482" s="7" t="s">
        <v>3791</v>
      </c>
      <c r="AG482" s="7"/>
      <c r="AH482" s="7"/>
      <c r="AI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 t="s">
        <v>3792</v>
      </c>
      <c r="W483" s="7"/>
      <c r="X483" s="7"/>
      <c r="Y483" s="7"/>
      <c r="Z483" s="7"/>
      <c r="AA483" s="7"/>
      <c r="AB483" s="7"/>
      <c r="AC483" s="7"/>
      <c r="AD483" s="7"/>
      <c r="AE483" s="7"/>
      <c r="AF483" s="7" t="s">
        <v>3793</v>
      </c>
      <c r="AG483" s="7"/>
      <c r="AH483" s="7"/>
      <c r="AI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 t="s">
        <v>3794</v>
      </c>
      <c r="W484" s="7"/>
      <c r="X484" s="7"/>
      <c r="Y484" s="7"/>
      <c r="Z484" s="7"/>
      <c r="AA484" s="7"/>
      <c r="AB484" s="7"/>
      <c r="AC484" s="7"/>
      <c r="AD484" s="7"/>
      <c r="AE484" s="7"/>
      <c r="AF484" s="7" t="s">
        <v>3795</v>
      </c>
      <c r="AG484" s="7"/>
      <c r="AH484" s="7"/>
      <c r="AI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 t="s">
        <v>3796</v>
      </c>
      <c r="W485" s="7"/>
      <c r="X485" s="7"/>
      <c r="Y485" s="7"/>
      <c r="Z485" s="7"/>
      <c r="AA485" s="7"/>
      <c r="AB485" s="7"/>
      <c r="AC485" s="7"/>
      <c r="AD485" s="7"/>
      <c r="AE485" s="7"/>
      <c r="AF485" s="7" t="s">
        <v>3797</v>
      </c>
      <c r="AG485" s="7"/>
      <c r="AH485" s="7"/>
      <c r="AI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 t="s">
        <v>3798</v>
      </c>
      <c r="W486" s="7"/>
      <c r="X486" s="7"/>
      <c r="Y486" s="7"/>
      <c r="Z486" s="7"/>
      <c r="AA486" s="7"/>
      <c r="AB486" s="7"/>
      <c r="AC486" s="7"/>
      <c r="AD486" s="7"/>
      <c r="AE486" s="7"/>
      <c r="AF486" s="7" t="s">
        <v>3799</v>
      </c>
      <c r="AG486" s="7"/>
      <c r="AH486" s="7"/>
      <c r="AI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 t="s">
        <v>3800</v>
      </c>
      <c r="W487" s="7"/>
      <c r="X487" s="7"/>
      <c r="Y487" s="7"/>
      <c r="Z487" s="7"/>
      <c r="AA487" s="7"/>
      <c r="AB487" s="7"/>
      <c r="AC487" s="7"/>
      <c r="AD487" s="7"/>
      <c r="AE487" s="7"/>
      <c r="AF487" s="7" t="s">
        <v>3801</v>
      </c>
      <c r="AG487" s="7"/>
      <c r="AH487" s="7"/>
      <c r="AI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 t="s">
        <v>3802</v>
      </c>
      <c r="W488" s="7"/>
      <c r="X488" s="7"/>
      <c r="Y488" s="7"/>
      <c r="Z488" s="7"/>
      <c r="AA488" s="7"/>
      <c r="AB488" s="7"/>
      <c r="AC488" s="7"/>
      <c r="AD488" s="7"/>
      <c r="AE488" s="7"/>
      <c r="AF488" s="7" t="s">
        <v>3803</v>
      </c>
      <c r="AG488" s="7"/>
      <c r="AH488" s="7"/>
      <c r="AI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 t="s">
        <v>3804</v>
      </c>
      <c r="W489" s="7"/>
      <c r="X489" s="7"/>
      <c r="Y489" s="7"/>
      <c r="Z489" s="7"/>
      <c r="AA489" s="7"/>
      <c r="AB489" s="7"/>
      <c r="AC489" s="7"/>
      <c r="AD489" s="7"/>
      <c r="AE489" s="7"/>
      <c r="AF489" s="7" t="s">
        <v>3805</v>
      </c>
      <c r="AG489" s="7"/>
      <c r="AH489" s="7"/>
      <c r="AI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 t="s">
        <v>3806</v>
      </c>
      <c r="W490" s="7"/>
      <c r="X490" s="7"/>
      <c r="Y490" s="7"/>
      <c r="Z490" s="7"/>
      <c r="AA490" s="7"/>
      <c r="AB490" s="7"/>
      <c r="AC490" s="7"/>
      <c r="AD490" s="7"/>
      <c r="AE490" s="7"/>
      <c r="AF490" s="7" t="s">
        <v>3807</v>
      </c>
      <c r="AG490" s="7"/>
      <c r="AH490" s="7"/>
      <c r="AI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 t="s">
        <v>3808</v>
      </c>
      <c r="W491" s="7"/>
      <c r="X491" s="7"/>
      <c r="Y491" s="7"/>
      <c r="Z491" s="7"/>
      <c r="AA491" s="7"/>
      <c r="AB491" s="7"/>
      <c r="AC491" s="7"/>
      <c r="AD491" s="7"/>
      <c r="AE491" s="7"/>
      <c r="AF491" s="7" t="s">
        <v>3809</v>
      </c>
      <c r="AG491" s="7"/>
      <c r="AH491" s="7"/>
      <c r="AI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 t="s">
        <v>3810</v>
      </c>
      <c r="W492" s="7"/>
      <c r="X492" s="7"/>
      <c r="Y492" s="7"/>
      <c r="Z492" s="7"/>
      <c r="AA492" s="7"/>
      <c r="AB492" s="7"/>
      <c r="AC492" s="7"/>
      <c r="AD492" s="7"/>
      <c r="AE492" s="7"/>
      <c r="AF492" s="7" t="s">
        <v>3811</v>
      </c>
      <c r="AG492" s="7"/>
      <c r="AH492" s="7"/>
      <c r="AI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 t="s">
        <v>3812</v>
      </c>
      <c r="W493" s="7"/>
      <c r="X493" s="7"/>
      <c r="Y493" s="7"/>
      <c r="Z493" s="7"/>
      <c r="AA493" s="7"/>
      <c r="AB493" s="7"/>
      <c r="AC493" s="7"/>
      <c r="AD493" s="7"/>
      <c r="AE493" s="7"/>
      <c r="AF493" s="7" t="s">
        <v>3813</v>
      </c>
      <c r="AG493" s="7"/>
      <c r="AH493" s="7"/>
      <c r="AI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 t="s">
        <v>3814</v>
      </c>
      <c r="W494" s="7"/>
      <c r="X494" s="7"/>
      <c r="Y494" s="7"/>
      <c r="Z494" s="7"/>
      <c r="AA494" s="7"/>
      <c r="AB494" s="7"/>
      <c r="AC494" s="7"/>
      <c r="AD494" s="7"/>
      <c r="AE494" s="7"/>
      <c r="AF494" s="7" t="s">
        <v>3815</v>
      </c>
      <c r="AG494" s="7"/>
      <c r="AH494" s="7"/>
      <c r="AI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 t="s">
        <v>3816</v>
      </c>
      <c r="W495" s="7"/>
      <c r="X495" s="7"/>
      <c r="Y495" s="7"/>
      <c r="Z495" s="7"/>
      <c r="AA495" s="7"/>
      <c r="AB495" s="7"/>
      <c r="AC495" s="7"/>
      <c r="AD495" s="7"/>
      <c r="AE495" s="7"/>
      <c r="AF495" s="7" t="s">
        <v>3817</v>
      </c>
      <c r="AG495" s="7"/>
      <c r="AH495" s="7"/>
      <c r="AI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 t="s">
        <v>3818</v>
      </c>
      <c r="W496" s="7"/>
      <c r="X496" s="7"/>
      <c r="Y496" s="7"/>
      <c r="Z496" s="7"/>
      <c r="AA496" s="7"/>
      <c r="AB496" s="7"/>
      <c r="AC496" s="7"/>
      <c r="AD496" s="7"/>
      <c r="AE496" s="7"/>
      <c r="AF496" s="7" t="s">
        <v>3819</v>
      </c>
      <c r="AG496" s="7"/>
      <c r="AH496" s="7"/>
      <c r="AI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 t="s">
        <v>3820</v>
      </c>
      <c r="W497" s="7"/>
      <c r="X497" s="7"/>
      <c r="Y497" s="7"/>
      <c r="Z497" s="7"/>
      <c r="AA497" s="7"/>
      <c r="AB497" s="7"/>
      <c r="AC497" s="7"/>
      <c r="AD497" s="7"/>
      <c r="AE497" s="7"/>
      <c r="AF497" s="7" t="s">
        <v>3821</v>
      </c>
      <c r="AG497" s="7"/>
      <c r="AH497" s="7"/>
      <c r="AI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 t="s">
        <v>3822</v>
      </c>
      <c r="W498" s="7"/>
      <c r="X498" s="7"/>
      <c r="Y498" s="7"/>
      <c r="Z498" s="7"/>
      <c r="AA498" s="7"/>
      <c r="AB498" s="7"/>
      <c r="AC498" s="7"/>
      <c r="AD498" s="7"/>
      <c r="AE498" s="7"/>
      <c r="AF498" s="7" t="s">
        <v>3823</v>
      </c>
      <c r="AG498" s="7"/>
      <c r="AH498" s="7"/>
      <c r="AI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 t="s">
        <v>3824</v>
      </c>
      <c r="W499" s="7"/>
      <c r="X499" s="7"/>
      <c r="Y499" s="7"/>
      <c r="Z499" s="7"/>
      <c r="AA499" s="7"/>
      <c r="AB499" s="7"/>
      <c r="AC499" s="7"/>
      <c r="AD499" s="7"/>
      <c r="AE499" s="7"/>
      <c r="AF499" s="7" t="s">
        <v>3825</v>
      </c>
      <c r="AG499" s="7"/>
      <c r="AH499" s="7"/>
      <c r="AI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 t="s">
        <v>3826</v>
      </c>
      <c r="W500" s="7"/>
      <c r="X500" s="7"/>
      <c r="Y500" s="7"/>
      <c r="Z500" s="7"/>
      <c r="AA500" s="7"/>
      <c r="AB500" s="7"/>
      <c r="AC500" s="7"/>
      <c r="AD500" s="7"/>
      <c r="AE500" s="7"/>
      <c r="AF500" s="7" t="s">
        <v>3827</v>
      </c>
      <c r="AG500" s="7"/>
      <c r="AH500" s="7"/>
      <c r="AI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 t="s">
        <v>3828</v>
      </c>
      <c r="W501" s="7"/>
      <c r="X501" s="7"/>
      <c r="Y501" s="7"/>
      <c r="Z501" s="7"/>
      <c r="AA501" s="7"/>
      <c r="AB501" s="7"/>
      <c r="AC501" s="7"/>
      <c r="AD501" s="7"/>
      <c r="AE501" s="7"/>
      <c r="AF501" s="7" t="s">
        <v>3829</v>
      </c>
      <c r="AG501" s="7"/>
      <c r="AH501" s="7"/>
      <c r="AI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 t="s">
        <v>3830</v>
      </c>
      <c r="W502" s="7"/>
      <c r="X502" s="7"/>
      <c r="Y502" s="7"/>
      <c r="Z502" s="7"/>
      <c r="AA502" s="7"/>
      <c r="AB502" s="7"/>
      <c r="AC502" s="7"/>
      <c r="AD502" s="7"/>
      <c r="AE502" s="7"/>
      <c r="AF502" s="7" t="s">
        <v>3831</v>
      </c>
      <c r="AG502" s="7"/>
      <c r="AH502" s="7"/>
      <c r="AI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 t="s">
        <v>3832</v>
      </c>
      <c r="W503" s="7"/>
      <c r="X503" s="7"/>
      <c r="Y503" s="7"/>
      <c r="Z503" s="7"/>
      <c r="AA503" s="7"/>
      <c r="AB503" s="7"/>
      <c r="AC503" s="7"/>
      <c r="AD503" s="7"/>
      <c r="AE503" s="7"/>
      <c r="AF503" s="7" t="s">
        <v>3833</v>
      </c>
      <c r="AG503" s="7"/>
      <c r="AH503" s="7"/>
      <c r="AI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 t="s">
        <v>3834</v>
      </c>
      <c r="W504" s="7"/>
      <c r="X504" s="7"/>
      <c r="Y504" s="7"/>
      <c r="Z504" s="7"/>
      <c r="AA504" s="7"/>
      <c r="AB504" s="7"/>
      <c r="AC504" s="7"/>
      <c r="AD504" s="7"/>
      <c r="AE504" s="7"/>
      <c r="AF504" s="7" t="s">
        <v>3835</v>
      </c>
      <c r="AG504" s="7"/>
      <c r="AH504" s="7"/>
      <c r="AI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 t="s">
        <v>3836</v>
      </c>
      <c r="W505" s="7"/>
      <c r="X505" s="7"/>
      <c r="Y505" s="7"/>
      <c r="Z505" s="7"/>
      <c r="AA505" s="7"/>
      <c r="AB505" s="7"/>
      <c r="AC505" s="7"/>
      <c r="AD505" s="7"/>
      <c r="AE505" s="7"/>
      <c r="AF505" s="7" t="s">
        <v>3837</v>
      </c>
      <c r="AG505" s="7"/>
      <c r="AH505" s="7"/>
      <c r="AI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 t="s">
        <v>3838</v>
      </c>
      <c r="W506" s="7"/>
      <c r="X506" s="7"/>
      <c r="Y506" s="7"/>
      <c r="Z506" s="7"/>
      <c r="AA506" s="7"/>
      <c r="AB506" s="7"/>
      <c r="AC506" s="7"/>
      <c r="AD506" s="7"/>
      <c r="AE506" s="7"/>
      <c r="AF506" s="7" t="s">
        <v>3839</v>
      </c>
      <c r="AG506" s="7"/>
      <c r="AH506" s="7"/>
      <c r="AI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 t="s">
        <v>3840</v>
      </c>
      <c r="W507" s="7"/>
      <c r="X507" s="7"/>
      <c r="Y507" s="7"/>
      <c r="Z507" s="7"/>
      <c r="AA507" s="7"/>
      <c r="AB507" s="7"/>
      <c r="AC507" s="7"/>
      <c r="AD507" s="7"/>
      <c r="AE507" s="7"/>
      <c r="AF507" s="7" t="s">
        <v>3841</v>
      </c>
      <c r="AG507" s="7"/>
      <c r="AH507" s="7"/>
      <c r="AI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 t="s">
        <v>3842</v>
      </c>
      <c r="W508" s="7"/>
      <c r="X508" s="7"/>
      <c r="Y508" s="7"/>
      <c r="Z508" s="7"/>
      <c r="AA508" s="7"/>
      <c r="AB508" s="7"/>
      <c r="AC508" s="7"/>
      <c r="AD508" s="7"/>
      <c r="AE508" s="7"/>
      <c r="AF508" s="7" t="s">
        <v>3843</v>
      </c>
      <c r="AG508" s="7"/>
      <c r="AH508" s="7"/>
      <c r="AI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 t="s">
        <v>3844</v>
      </c>
      <c r="W509" s="7"/>
      <c r="X509" s="7"/>
      <c r="Y509" s="7"/>
      <c r="Z509" s="7"/>
      <c r="AA509" s="7"/>
      <c r="AB509" s="7"/>
      <c r="AC509" s="7"/>
      <c r="AD509" s="7"/>
      <c r="AE509" s="7"/>
      <c r="AF509" s="7" t="s">
        <v>3845</v>
      </c>
      <c r="AG509" s="7"/>
      <c r="AH509" s="7"/>
      <c r="AI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 t="s">
        <v>3846</v>
      </c>
      <c r="W510" s="7"/>
      <c r="X510" s="7"/>
      <c r="Y510" s="7"/>
      <c r="Z510" s="7"/>
      <c r="AA510" s="7"/>
      <c r="AB510" s="7"/>
      <c r="AC510" s="7"/>
      <c r="AD510" s="7"/>
      <c r="AE510" s="7"/>
      <c r="AF510" s="7" t="s">
        <v>3847</v>
      </c>
      <c r="AG510" s="7"/>
      <c r="AH510" s="7"/>
      <c r="AI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 t="s">
        <v>3848</v>
      </c>
      <c r="W511" s="7"/>
      <c r="X511" s="7"/>
      <c r="Y511" s="7"/>
      <c r="Z511" s="7"/>
      <c r="AA511" s="7"/>
      <c r="AB511" s="7"/>
      <c r="AC511" s="7"/>
      <c r="AD511" s="7"/>
      <c r="AE511" s="7"/>
      <c r="AF511" s="7" t="s">
        <v>3849</v>
      </c>
      <c r="AG511" s="7"/>
      <c r="AH511" s="7"/>
      <c r="AI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 t="s">
        <v>3850</v>
      </c>
      <c r="W512" s="7"/>
      <c r="X512" s="7"/>
      <c r="Y512" s="7"/>
      <c r="Z512" s="7"/>
      <c r="AA512" s="7"/>
      <c r="AB512" s="7"/>
      <c r="AC512" s="7"/>
      <c r="AD512" s="7"/>
      <c r="AE512" s="7"/>
      <c r="AF512" s="7" t="s">
        <v>3851</v>
      </c>
      <c r="AG512" s="7"/>
      <c r="AH512" s="7"/>
      <c r="AI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 t="s">
        <v>3852</v>
      </c>
      <c r="W513" s="7"/>
      <c r="X513" s="7"/>
      <c r="Y513" s="7"/>
      <c r="Z513" s="7"/>
      <c r="AA513" s="7"/>
      <c r="AB513" s="7"/>
      <c r="AC513" s="7"/>
      <c r="AD513" s="7"/>
      <c r="AE513" s="7"/>
      <c r="AF513" s="7" t="s">
        <v>3853</v>
      </c>
      <c r="AG513" s="7"/>
      <c r="AH513" s="7"/>
      <c r="AI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 t="s">
        <v>3854</v>
      </c>
      <c r="W514" s="7"/>
      <c r="X514" s="7"/>
      <c r="Y514" s="7"/>
      <c r="Z514" s="7"/>
      <c r="AA514" s="7"/>
      <c r="AB514" s="7"/>
      <c r="AC514" s="7"/>
      <c r="AD514" s="7"/>
      <c r="AE514" s="7"/>
      <c r="AF514" s="7" t="s">
        <v>3855</v>
      </c>
      <c r="AG514" s="7"/>
      <c r="AH514" s="7"/>
      <c r="AI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 t="s">
        <v>3856</v>
      </c>
      <c r="W515" s="7"/>
      <c r="X515" s="7"/>
      <c r="Y515" s="7"/>
      <c r="Z515" s="7"/>
      <c r="AA515" s="7"/>
      <c r="AB515" s="7"/>
      <c r="AC515" s="7"/>
      <c r="AD515" s="7"/>
      <c r="AE515" s="7"/>
      <c r="AF515" s="7" t="s">
        <v>3857</v>
      </c>
      <c r="AG515" s="7"/>
      <c r="AH515" s="7"/>
      <c r="AI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 t="s">
        <v>3858</v>
      </c>
      <c r="W516" s="7"/>
      <c r="X516" s="7"/>
      <c r="Y516" s="7"/>
      <c r="Z516" s="7"/>
      <c r="AA516" s="7"/>
      <c r="AB516" s="7"/>
      <c r="AC516" s="7"/>
      <c r="AD516" s="7"/>
      <c r="AE516" s="7"/>
      <c r="AF516" s="7" t="s">
        <v>3859</v>
      </c>
      <c r="AG516" s="7"/>
      <c r="AH516" s="7"/>
      <c r="AI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 t="s">
        <v>3860</v>
      </c>
      <c r="W517" s="7"/>
      <c r="X517" s="7"/>
      <c r="Y517" s="7"/>
      <c r="Z517" s="7"/>
      <c r="AA517" s="7"/>
      <c r="AB517" s="7"/>
      <c r="AC517" s="7"/>
      <c r="AD517" s="7"/>
      <c r="AE517" s="7"/>
      <c r="AF517" s="7" t="s">
        <v>3861</v>
      </c>
      <c r="AG517" s="7"/>
      <c r="AH517" s="7"/>
      <c r="AI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 t="s">
        <v>3862</v>
      </c>
      <c r="W518" s="7"/>
      <c r="X518" s="7"/>
      <c r="Y518" s="7"/>
      <c r="Z518" s="7"/>
      <c r="AA518" s="7"/>
      <c r="AB518" s="7"/>
      <c r="AC518" s="7"/>
      <c r="AD518" s="7"/>
      <c r="AE518" s="7"/>
      <c r="AF518" s="7" t="s">
        <v>3863</v>
      </c>
      <c r="AG518" s="7"/>
      <c r="AH518" s="7"/>
      <c r="AI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 t="s">
        <v>3864</v>
      </c>
      <c r="W519" s="7"/>
      <c r="X519" s="7"/>
      <c r="Y519" s="7"/>
      <c r="Z519" s="7"/>
      <c r="AA519" s="7"/>
      <c r="AB519" s="7"/>
      <c r="AC519" s="7"/>
      <c r="AD519" s="7"/>
      <c r="AE519" s="7"/>
      <c r="AF519" s="7" t="s">
        <v>3865</v>
      </c>
      <c r="AG519" s="7"/>
      <c r="AH519" s="7"/>
      <c r="AI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 t="s">
        <v>3866</v>
      </c>
      <c r="W520" s="7"/>
      <c r="X520" s="7"/>
      <c r="Y520" s="7"/>
      <c r="Z520" s="7"/>
      <c r="AA520" s="7"/>
      <c r="AB520" s="7"/>
      <c r="AC520" s="7"/>
      <c r="AD520" s="7"/>
      <c r="AE520" s="7"/>
      <c r="AF520" s="7" t="s">
        <v>3867</v>
      </c>
      <c r="AG520" s="7"/>
      <c r="AH520" s="7"/>
      <c r="AI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 t="s">
        <v>3868</v>
      </c>
      <c r="W521" s="7"/>
      <c r="X521" s="7"/>
      <c r="Y521" s="7"/>
      <c r="Z521" s="7"/>
      <c r="AA521" s="7"/>
      <c r="AB521" s="7"/>
      <c r="AC521" s="7"/>
      <c r="AD521" s="7"/>
      <c r="AE521" s="7"/>
      <c r="AF521" s="7" t="s">
        <v>3869</v>
      </c>
      <c r="AG521" s="7"/>
      <c r="AH521" s="7"/>
      <c r="AI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 t="s">
        <v>3870</v>
      </c>
      <c r="W522" s="7"/>
      <c r="X522" s="7"/>
      <c r="Y522" s="7"/>
      <c r="Z522" s="7"/>
      <c r="AA522" s="7"/>
      <c r="AB522" s="7"/>
      <c r="AC522" s="7"/>
      <c r="AD522" s="7"/>
      <c r="AE522" s="7"/>
      <c r="AF522" s="7" t="s">
        <v>3871</v>
      </c>
      <c r="AG522" s="7"/>
      <c r="AH522" s="7"/>
      <c r="AI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 t="s">
        <v>3872</v>
      </c>
      <c r="W523" s="7"/>
      <c r="X523" s="7"/>
      <c r="Y523" s="7"/>
      <c r="Z523" s="7"/>
      <c r="AA523" s="7"/>
      <c r="AB523" s="7"/>
      <c r="AC523" s="7"/>
      <c r="AD523" s="7"/>
      <c r="AE523" s="7"/>
      <c r="AF523" s="7" t="s">
        <v>3873</v>
      </c>
      <c r="AG523" s="7"/>
      <c r="AH523" s="7"/>
      <c r="AI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 t="s">
        <v>3874</v>
      </c>
      <c r="W524" s="7"/>
      <c r="X524" s="7"/>
      <c r="Y524" s="7"/>
      <c r="Z524" s="7"/>
      <c r="AA524" s="7"/>
      <c r="AB524" s="7"/>
      <c r="AC524" s="7"/>
      <c r="AD524" s="7"/>
      <c r="AE524" s="7"/>
      <c r="AF524" s="7" t="s">
        <v>3875</v>
      </c>
      <c r="AG524" s="7"/>
      <c r="AH524" s="7"/>
      <c r="AI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 t="s">
        <v>3876</v>
      </c>
      <c r="W525" s="7"/>
      <c r="X525" s="7"/>
      <c r="Y525" s="7"/>
      <c r="Z525" s="7"/>
      <c r="AA525" s="7"/>
      <c r="AB525" s="7"/>
      <c r="AC525" s="7"/>
      <c r="AD525" s="7"/>
      <c r="AE525" s="7"/>
      <c r="AF525" s="7" t="s">
        <v>3877</v>
      </c>
      <c r="AG525" s="7"/>
      <c r="AH525" s="7"/>
      <c r="AI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 t="s">
        <v>3878</v>
      </c>
      <c r="W526" s="7"/>
      <c r="X526" s="7"/>
      <c r="Y526" s="7"/>
      <c r="Z526" s="7"/>
      <c r="AA526" s="7"/>
      <c r="AB526" s="7"/>
      <c r="AC526" s="7"/>
      <c r="AD526" s="7"/>
      <c r="AE526" s="7"/>
      <c r="AF526" s="7" t="s">
        <v>3879</v>
      </c>
      <c r="AG526" s="7"/>
      <c r="AH526" s="7"/>
      <c r="AI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 t="s">
        <v>3880</v>
      </c>
      <c r="W527" s="7"/>
      <c r="X527" s="7"/>
      <c r="Y527" s="7"/>
      <c r="Z527" s="7"/>
      <c r="AA527" s="7"/>
      <c r="AB527" s="7"/>
      <c r="AC527" s="7"/>
      <c r="AD527" s="7"/>
      <c r="AE527" s="7"/>
      <c r="AF527" s="7" t="s">
        <v>3881</v>
      </c>
      <c r="AG527" s="7"/>
      <c r="AH527" s="7"/>
      <c r="AI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 t="s">
        <v>3882</v>
      </c>
      <c r="W528" s="7"/>
      <c r="X528" s="7"/>
      <c r="Y528" s="7"/>
      <c r="Z528" s="7"/>
      <c r="AA528" s="7"/>
      <c r="AB528" s="7"/>
      <c r="AC528" s="7"/>
      <c r="AD528" s="7"/>
      <c r="AE528" s="7"/>
      <c r="AF528" s="7" t="s">
        <v>3883</v>
      </c>
      <c r="AG528" s="7"/>
      <c r="AH528" s="7"/>
      <c r="AI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 t="s">
        <v>3884</v>
      </c>
      <c r="W529" s="7"/>
      <c r="X529" s="7"/>
      <c r="Y529" s="7"/>
      <c r="Z529" s="7"/>
      <c r="AA529" s="7"/>
      <c r="AB529" s="7"/>
      <c r="AC529" s="7"/>
      <c r="AD529" s="7"/>
      <c r="AE529" s="7"/>
      <c r="AF529" s="7" t="s">
        <v>3885</v>
      </c>
      <c r="AG529" s="7"/>
      <c r="AH529" s="7"/>
      <c r="AI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 t="s">
        <v>3886</v>
      </c>
      <c r="W530" s="7"/>
      <c r="X530" s="7"/>
      <c r="Y530" s="7"/>
      <c r="Z530" s="7"/>
      <c r="AA530" s="7"/>
      <c r="AB530" s="7"/>
      <c r="AC530" s="7"/>
      <c r="AD530" s="7"/>
      <c r="AE530" s="7"/>
      <c r="AF530" s="7" t="s">
        <v>3887</v>
      </c>
      <c r="AG530" s="7"/>
      <c r="AH530" s="7"/>
      <c r="AI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 t="s">
        <v>3888</v>
      </c>
      <c r="W531" s="7"/>
      <c r="X531" s="7"/>
      <c r="Y531" s="7"/>
      <c r="Z531" s="7"/>
      <c r="AA531" s="7"/>
      <c r="AB531" s="7"/>
      <c r="AC531" s="7"/>
      <c r="AD531" s="7"/>
      <c r="AE531" s="7"/>
      <c r="AF531" s="7" t="s">
        <v>3889</v>
      </c>
      <c r="AG531" s="7"/>
      <c r="AH531" s="7"/>
      <c r="AI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 t="s">
        <v>3890</v>
      </c>
      <c r="W532" s="7"/>
      <c r="X532" s="7"/>
      <c r="Y532" s="7"/>
      <c r="Z532" s="7"/>
      <c r="AA532" s="7"/>
      <c r="AB532" s="7"/>
      <c r="AC532" s="7"/>
      <c r="AD532" s="7"/>
      <c r="AE532" s="7"/>
      <c r="AF532" s="7" t="s">
        <v>3891</v>
      </c>
      <c r="AG532" s="7"/>
      <c r="AH532" s="7"/>
      <c r="AI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 t="s">
        <v>3892</v>
      </c>
      <c r="W533" s="7"/>
      <c r="X533" s="7"/>
      <c r="Y533" s="7"/>
      <c r="Z533" s="7"/>
      <c r="AA533" s="7"/>
      <c r="AB533" s="7"/>
      <c r="AC533" s="7"/>
      <c r="AD533" s="7"/>
      <c r="AE533" s="7"/>
      <c r="AF533" s="7" t="s">
        <v>3893</v>
      </c>
      <c r="AG533" s="7"/>
      <c r="AH533" s="7"/>
      <c r="AI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 t="s">
        <v>3894</v>
      </c>
      <c r="W534" s="7"/>
      <c r="X534" s="7"/>
      <c r="Y534" s="7"/>
      <c r="Z534" s="7"/>
      <c r="AA534" s="7"/>
      <c r="AB534" s="7"/>
      <c r="AC534" s="7"/>
      <c r="AD534" s="7"/>
      <c r="AE534" s="7"/>
      <c r="AF534" s="7" t="s">
        <v>3895</v>
      </c>
      <c r="AG534" s="7"/>
      <c r="AH534" s="7"/>
      <c r="AI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 t="s">
        <v>3896</v>
      </c>
      <c r="W535" s="7"/>
      <c r="X535" s="7"/>
      <c r="Y535" s="7"/>
      <c r="Z535" s="7"/>
      <c r="AA535" s="7"/>
      <c r="AB535" s="7"/>
      <c r="AC535" s="7"/>
      <c r="AD535" s="7"/>
      <c r="AE535" s="7"/>
      <c r="AF535" s="7" t="s">
        <v>3897</v>
      </c>
      <c r="AG535" s="7"/>
      <c r="AH535" s="7"/>
      <c r="AI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 t="s">
        <v>3898</v>
      </c>
      <c r="W536" s="7"/>
      <c r="X536" s="7"/>
      <c r="Y536" s="7"/>
      <c r="Z536" s="7"/>
      <c r="AA536" s="7"/>
      <c r="AB536" s="7"/>
      <c r="AC536" s="7"/>
      <c r="AD536" s="7"/>
      <c r="AE536" s="7"/>
      <c r="AF536" s="7" t="s">
        <v>3899</v>
      </c>
      <c r="AG536" s="7"/>
      <c r="AH536" s="7"/>
      <c r="AI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 t="s">
        <v>3900</v>
      </c>
      <c r="W537" s="7"/>
      <c r="X537" s="7"/>
      <c r="Y537" s="7"/>
      <c r="Z537" s="7"/>
      <c r="AA537" s="7"/>
      <c r="AB537" s="7"/>
      <c r="AC537" s="7"/>
      <c r="AD537" s="7"/>
      <c r="AE537" s="7"/>
      <c r="AF537" s="7" t="s">
        <v>3901</v>
      </c>
      <c r="AG537" s="7"/>
      <c r="AH537" s="7"/>
      <c r="AI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 t="s">
        <v>3902</v>
      </c>
      <c r="W538" s="7"/>
      <c r="X538" s="7"/>
      <c r="Y538" s="7"/>
      <c r="Z538" s="7"/>
      <c r="AA538" s="7"/>
      <c r="AB538" s="7"/>
      <c r="AC538" s="7"/>
      <c r="AD538" s="7"/>
      <c r="AE538" s="7"/>
      <c r="AF538" s="7" t="s">
        <v>3903</v>
      </c>
      <c r="AG538" s="7"/>
      <c r="AH538" s="7"/>
      <c r="AI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 t="s">
        <v>3904</v>
      </c>
      <c r="W539" s="7"/>
      <c r="X539" s="7"/>
      <c r="Y539" s="7"/>
      <c r="Z539" s="7"/>
      <c r="AA539" s="7"/>
      <c r="AB539" s="7"/>
      <c r="AC539" s="7"/>
      <c r="AD539" s="7"/>
      <c r="AE539" s="7"/>
      <c r="AF539" s="7" t="s">
        <v>3905</v>
      </c>
      <c r="AG539" s="7"/>
      <c r="AH539" s="7"/>
      <c r="AI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 t="s">
        <v>3906</v>
      </c>
      <c r="W540" s="7"/>
      <c r="X540" s="7"/>
      <c r="Y540" s="7"/>
      <c r="Z540" s="7"/>
      <c r="AA540" s="7"/>
      <c r="AB540" s="7"/>
      <c r="AC540" s="7"/>
      <c r="AD540" s="7"/>
      <c r="AE540" s="7"/>
      <c r="AF540" s="7" t="s">
        <v>3907</v>
      </c>
      <c r="AG540" s="7"/>
      <c r="AH540" s="7"/>
      <c r="AI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 t="s">
        <v>3908</v>
      </c>
      <c r="W541" s="7"/>
      <c r="X541" s="7"/>
      <c r="Y541" s="7"/>
      <c r="Z541" s="7"/>
      <c r="AA541" s="7"/>
      <c r="AB541" s="7"/>
      <c r="AC541" s="7"/>
      <c r="AD541" s="7"/>
      <c r="AE541" s="7"/>
      <c r="AF541" s="7" t="s">
        <v>3909</v>
      </c>
      <c r="AG541" s="7"/>
      <c r="AH541" s="7"/>
      <c r="AI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 t="s">
        <v>3910</v>
      </c>
      <c r="W542" s="7"/>
      <c r="X542" s="7"/>
      <c r="Y542" s="7"/>
      <c r="Z542" s="7"/>
      <c r="AA542" s="7"/>
      <c r="AB542" s="7"/>
      <c r="AC542" s="7"/>
      <c r="AD542" s="7"/>
      <c r="AE542" s="7"/>
      <c r="AF542" s="7" t="s">
        <v>3911</v>
      </c>
      <c r="AG542" s="7"/>
      <c r="AH542" s="7"/>
      <c r="AI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 t="s">
        <v>3912</v>
      </c>
      <c r="W543" s="7"/>
      <c r="X543" s="7"/>
      <c r="Y543" s="7"/>
      <c r="Z543" s="7"/>
      <c r="AA543" s="7"/>
      <c r="AB543" s="7"/>
      <c r="AC543" s="7"/>
      <c r="AD543" s="7"/>
      <c r="AE543" s="7"/>
      <c r="AF543" s="7" t="s">
        <v>3913</v>
      </c>
      <c r="AG543" s="7"/>
      <c r="AH543" s="7"/>
      <c r="AI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 t="s">
        <v>3914</v>
      </c>
      <c r="W544" s="7"/>
      <c r="X544" s="7"/>
      <c r="Y544" s="7"/>
      <c r="Z544" s="7"/>
      <c r="AA544" s="7"/>
      <c r="AB544" s="7"/>
      <c r="AC544" s="7"/>
      <c r="AD544" s="7"/>
      <c r="AE544" s="7"/>
      <c r="AF544" s="7" t="s">
        <v>3915</v>
      </c>
      <c r="AG544" s="7"/>
      <c r="AH544" s="7"/>
      <c r="AI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 t="s">
        <v>3916</v>
      </c>
      <c r="W545" s="7"/>
      <c r="X545" s="7"/>
      <c r="Y545" s="7"/>
      <c r="Z545" s="7"/>
      <c r="AA545" s="7"/>
      <c r="AB545" s="7"/>
      <c r="AC545" s="7"/>
      <c r="AD545" s="7"/>
      <c r="AE545" s="7"/>
      <c r="AF545" s="7" t="s">
        <v>3917</v>
      </c>
      <c r="AG545" s="7"/>
      <c r="AH545" s="7"/>
      <c r="AI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 t="s">
        <v>3918</v>
      </c>
      <c r="W546" s="7"/>
      <c r="X546" s="7"/>
      <c r="Y546" s="7"/>
      <c r="Z546" s="7"/>
      <c r="AA546" s="7"/>
      <c r="AB546" s="7"/>
      <c r="AC546" s="7"/>
      <c r="AD546" s="7"/>
      <c r="AE546" s="7"/>
      <c r="AF546" s="7" t="s">
        <v>3919</v>
      </c>
      <c r="AG546" s="7"/>
      <c r="AH546" s="7"/>
      <c r="AI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 t="s">
        <v>3920</v>
      </c>
      <c r="W547" s="7"/>
      <c r="X547" s="7"/>
      <c r="Y547" s="7"/>
      <c r="Z547" s="7"/>
      <c r="AA547" s="7"/>
      <c r="AB547" s="7"/>
      <c r="AC547" s="7"/>
      <c r="AD547" s="7"/>
      <c r="AE547" s="7"/>
      <c r="AF547" s="7" t="s">
        <v>3921</v>
      </c>
      <c r="AG547" s="7"/>
      <c r="AH547" s="7"/>
      <c r="AI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 t="s">
        <v>3922</v>
      </c>
      <c r="W548" s="7"/>
      <c r="X548" s="7"/>
      <c r="Y548" s="7"/>
      <c r="Z548" s="7"/>
      <c r="AA548" s="7"/>
      <c r="AB548" s="7"/>
      <c r="AC548" s="7"/>
      <c r="AD548" s="7"/>
      <c r="AE548" s="7"/>
      <c r="AF548" s="7" t="s">
        <v>3923</v>
      </c>
      <c r="AG548" s="7"/>
      <c r="AH548" s="7"/>
      <c r="AI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 t="s">
        <v>3924</v>
      </c>
      <c r="W549" s="7"/>
      <c r="X549" s="7"/>
      <c r="Y549" s="7"/>
      <c r="Z549" s="7"/>
      <c r="AA549" s="7"/>
      <c r="AB549" s="7"/>
      <c r="AC549" s="7"/>
      <c r="AD549" s="7"/>
      <c r="AE549" s="7"/>
      <c r="AF549" s="7" t="s">
        <v>3925</v>
      </c>
      <c r="AG549" s="7"/>
      <c r="AH549" s="7"/>
      <c r="AI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 t="s">
        <v>3926</v>
      </c>
      <c r="W550" s="7"/>
      <c r="X550" s="7"/>
      <c r="Y550" s="7"/>
      <c r="Z550" s="7"/>
      <c r="AA550" s="7"/>
      <c r="AB550" s="7"/>
      <c r="AC550" s="7"/>
      <c r="AD550" s="7"/>
      <c r="AE550" s="7"/>
      <c r="AF550" s="7" t="s">
        <v>3927</v>
      </c>
      <c r="AG550" s="7"/>
      <c r="AH550" s="7"/>
      <c r="AI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 t="s">
        <v>3928</v>
      </c>
      <c r="W551" s="7"/>
      <c r="X551" s="7"/>
      <c r="Y551" s="7"/>
      <c r="Z551" s="7"/>
      <c r="AA551" s="7"/>
      <c r="AB551" s="7"/>
      <c r="AC551" s="7"/>
      <c r="AD551" s="7"/>
      <c r="AE551" s="7"/>
      <c r="AF551" s="7" t="s">
        <v>3929</v>
      </c>
      <c r="AG551" s="7"/>
      <c r="AH551" s="7"/>
      <c r="AI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 t="s">
        <v>3930</v>
      </c>
      <c r="W552" s="7"/>
      <c r="X552" s="7"/>
      <c r="Y552" s="7"/>
      <c r="Z552" s="7"/>
      <c r="AA552" s="7"/>
      <c r="AB552" s="7"/>
      <c r="AC552" s="7"/>
      <c r="AD552" s="7"/>
      <c r="AE552" s="7"/>
      <c r="AF552" s="7" t="s">
        <v>3931</v>
      </c>
      <c r="AG552" s="7"/>
      <c r="AH552" s="7"/>
      <c r="AI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 t="s">
        <v>3932</v>
      </c>
      <c r="W553" s="7"/>
      <c r="X553" s="7"/>
      <c r="Y553" s="7"/>
      <c r="Z553" s="7"/>
      <c r="AA553" s="7"/>
      <c r="AB553" s="7"/>
      <c r="AC553" s="7"/>
      <c r="AD553" s="7"/>
      <c r="AE553" s="7"/>
      <c r="AF553" s="7" t="s">
        <v>3933</v>
      </c>
      <c r="AG553" s="7"/>
      <c r="AH553" s="7"/>
      <c r="AI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 t="s">
        <v>3934</v>
      </c>
      <c r="W554" s="7"/>
      <c r="X554" s="7"/>
      <c r="Y554" s="7"/>
      <c r="Z554" s="7"/>
      <c r="AA554" s="7"/>
      <c r="AB554" s="7"/>
      <c r="AC554" s="7"/>
      <c r="AD554" s="7"/>
      <c r="AE554" s="7"/>
      <c r="AF554" s="7" t="s">
        <v>3935</v>
      </c>
      <c r="AG554" s="7"/>
      <c r="AH554" s="7"/>
      <c r="AI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 t="s">
        <v>3936</v>
      </c>
      <c r="W555" s="7"/>
      <c r="X555" s="7"/>
      <c r="Y555" s="7"/>
      <c r="Z555" s="7"/>
      <c r="AA555" s="7"/>
      <c r="AB555" s="7"/>
      <c r="AC555" s="7"/>
      <c r="AD555" s="7"/>
      <c r="AE555" s="7"/>
      <c r="AF555" s="7" t="s">
        <v>3937</v>
      </c>
      <c r="AG555" s="7"/>
      <c r="AH555" s="7"/>
      <c r="AI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 t="s">
        <v>3938</v>
      </c>
      <c r="W556" s="7"/>
      <c r="X556" s="7"/>
      <c r="Y556" s="7"/>
      <c r="Z556" s="7"/>
      <c r="AA556" s="7"/>
      <c r="AB556" s="7"/>
      <c r="AC556" s="7"/>
      <c r="AD556" s="7"/>
      <c r="AE556" s="7"/>
      <c r="AF556" s="7" t="s">
        <v>3939</v>
      </c>
      <c r="AG556" s="7"/>
      <c r="AH556" s="7"/>
      <c r="AI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 t="s">
        <v>3940</v>
      </c>
      <c r="W557" s="7"/>
      <c r="X557" s="7"/>
      <c r="Y557" s="7"/>
      <c r="Z557" s="7"/>
      <c r="AA557" s="7"/>
      <c r="AB557" s="7"/>
      <c r="AC557" s="7"/>
      <c r="AD557" s="7"/>
      <c r="AE557" s="7"/>
      <c r="AF557" s="7" t="s">
        <v>3941</v>
      </c>
      <c r="AG557" s="7"/>
      <c r="AH557" s="7"/>
      <c r="AI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 t="s">
        <v>3942</v>
      </c>
      <c r="W558" s="7"/>
      <c r="X558" s="7"/>
      <c r="Y558" s="7"/>
      <c r="Z558" s="7"/>
      <c r="AA558" s="7"/>
      <c r="AB558" s="7"/>
      <c r="AC558" s="7"/>
      <c r="AD558" s="7"/>
      <c r="AE558" s="7"/>
      <c r="AF558" s="7" t="s">
        <v>3943</v>
      </c>
      <c r="AG558" s="7"/>
      <c r="AH558" s="7"/>
      <c r="AI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 t="s">
        <v>3944</v>
      </c>
      <c r="W559" s="7"/>
      <c r="X559" s="7"/>
      <c r="Y559" s="7"/>
      <c r="Z559" s="7"/>
      <c r="AA559" s="7"/>
      <c r="AB559" s="7"/>
      <c r="AC559" s="7"/>
      <c r="AD559" s="7"/>
      <c r="AE559" s="7"/>
      <c r="AF559" s="7" t="s">
        <v>3945</v>
      </c>
      <c r="AG559" s="7"/>
      <c r="AH559" s="7"/>
      <c r="AI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 t="s">
        <v>3946</v>
      </c>
      <c r="W560" s="7"/>
      <c r="X560" s="7"/>
      <c r="Y560" s="7"/>
      <c r="Z560" s="7"/>
      <c r="AA560" s="7"/>
      <c r="AB560" s="7"/>
      <c r="AC560" s="7"/>
      <c r="AD560" s="7"/>
      <c r="AE560" s="7"/>
      <c r="AF560" s="7" t="s">
        <v>3947</v>
      </c>
      <c r="AG560" s="7"/>
      <c r="AH560" s="7"/>
      <c r="AI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 t="s">
        <v>3948</v>
      </c>
      <c r="W561" s="7"/>
      <c r="X561" s="7"/>
      <c r="Y561" s="7"/>
      <c r="Z561" s="7"/>
      <c r="AA561" s="7"/>
      <c r="AB561" s="7"/>
      <c r="AC561" s="7"/>
      <c r="AD561" s="7"/>
      <c r="AE561" s="7"/>
      <c r="AF561" s="7" t="s">
        <v>3949</v>
      </c>
      <c r="AG561" s="7"/>
      <c r="AH561" s="7"/>
      <c r="AI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 t="s">
        <v>3950</v>
      </c>
      <c r="W562" s="7"/>
      <c r="X562" s="7"/>
      <c r="Y562" s="7"/>
      <c r="Z562" s="7"/>
      <c r="AA562" s="7"/>
      <c r="AB562" s="7"/>
      <c r="AC562" s="7"/>
      <c r="AD562" s="7"/>
      <c r="AE562" s="7"/>
      <c r="AF562" s="7" t="s">
        <v>3951</v>
      </c>
      <c r="AG562" s="7"/>
      <c r="AH562" s="7"/>
      <c r="AI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 t="s">
        <v>3952</v>
      </c>
      <c r="W563" s="7"/>
      <c r="X563" s="7"/>
      <c r="Y563" s="7"/>
      <c r="Z563" s="7"/>
      <c r="AA563" s="7"/>
      <c r="AB563" s="7"/>
      <c r="AC563" s="7"/>
      <c r="AD563" s="7"/>
      <c r="AE563" s="7"/>
      <c r="AF563" s="7" t="s">
        <v>3953</v>
      </c>
      <c r="AG563" s="7"/>
      <c r="AH563" s="7"/>
      <c r="AI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 t="s">
        <v>3954</v>
      </c>
      <c r="W564" s="7"/>
      <c r="X564" s="7"/>
      <c r="Y564" s="7"/>
      <c r="Z564" s="7"/>
      <c r="AA564" s="7"/>
      <c r="AB564" s="7"/>
      <c r="AC564" s="7"/>
      <c r="AD564" s="7"/>
      <c r="AE564" s="7"/>
      <c r="AF564" s="7" t="s">
        <v>3955</v>
      </c>
      <c r="AG564" s="7"/>
      <c r="AH564" s="7"/>
      <c r="AI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 t="s">
        <v>3956</v>
      </c>
      <c r="W565" s="7"/>
      <c r="X565" s="7"/>
      <c r="Y565" s="7"/>
      <c r="Z565" s="7"/>
      <c r="AA565" s="7"/>
      <c r="AB565" s="7"/>
      <c r="AC565" s="7"/>
      <c r="AD565" s="7"/>
      <c r="AE565" s="7"/>
      <c r="AF565" s="7" t="s">
        <v>3957</v>
      </c>
      <c r="AG565" s="7"/>
      <c r="AH565" s="7"/>
      <c r="AI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 t="s">
        <v>3958</v>
      </c>
      <c r="W566" s="7"/>
      <c r="X566" s="7"/>
      <c r="Y566" s="7"/>
      <c r="Z566" s="7"/>
      <c r="AA566" s="7"/>
      <c r="AB566" s="7"/>
      <c r="AC566" s="7"/>
      <c r="AD566" s="7"/>
      <c r="AE566" s="7"/>
      <c r="AF566" s="7" t="s">
        <v>3959</v>
      </c>
      <c r="AG566" s="7"/>
      <c r="AH566" s="7"/>
      <c r="AI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 t="s">
        <v>3960</v>
      </c>
      <c r="W567" s="7"/>
      <c r="X567" s="7"/>
      <c r="Y567" s="7"/>
      <c r="Z567" s="7"/>
      <c r="AA567" s="7"/>
      <c r="AB567" s="7"/>
      <c r="AC567" s="7"/>
      <c r="AD567" s="7"/>
      <c r="AE567" s="7"/>
      <c r="AF567" s="7" t="s">
        <v>3961</v>
      </c>
      <c r="AG567" s="7"/>
      <c r="AH567" s="7"/>
      <c r="AI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 t="s">
        <v>3962</v>
      </c>
      <c r="W568" s="7"/>
      <c r="X568" s="7"/>
      <c r="Y568" s="7"/>
      <c r="Z568" s="7"/>
      <c r="AA568" s="7"/>
      <c r="AB568" s="7"/>
      <c r="AC568" s="7"/>
      <c r="AD568" s="7"/>
      <c r="AE568" s="7"/>
      <c r="AF568" s="7" t="s">
        <v>3963</v>
      </c>
      <c r="AG568" s="7"/>
      <c r="AH568" s="7"/>
      <c r="AI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 t="s">
        <v>3964</v>
      </c>
      <c r="W569" s="7"/>
      <c r="X569" s="7"/>
      <c r="Y569" s="7"/>
      <c r="Z569" s="7"/>
      <c r="AA569" s="7"/>
      <c r="AB569" s="7"/>
      <c r="AC569" s="7"/>
      <c r="AD569" s="7"/>
      <c r="AE569" s="7"/>
      <c r="AF569" s="7" t="s">
        <v>3965</v>
      </c>
      <c r="AG569" s="7"/>
      <c r="AH569" s="7"/>
      <c r="AI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 t="s">
        <v>3966</v>
      </c>
      <c r="W570" s="7"/>
      <c r="X570" s="7"/>
      <c r="Y570" s="7"/>
      <c r="Z570" s="7"/>
      <c r="AA570" s="7"/>
      <c r="AB570" s="7"/>
      <c r="AC570" s="7"/>
      <c r="AD570" s="7"/>
      <c r="AE570" s="7"/>
      <c r="AF570" s="7" t="s">
        <v>3967</v>
      </c>
      <c r="AG570" s="7"/>
      <c r="AH570" s="7"/>
      <c r="AI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 t="s">
        <v>3968</v>
      </c>
      <c r="W571" s="7"/>
      <c r="X571" s="7"/>
      <c r="Y571" s="7"/>
      <c r="Z571" s="7"/>
      <c r="AA571" s="7"/>
      <c r="AB571" s="7"/>
      <c r="AC571" s="7"/>
      <c r="AD571" s="7"/>
      <c r="AE571" s="7"/>
      <c r="AF571" s="7" t="s">
        <v>3969</v>
      </c>
      <c r="AG571" s="7"/>
      <c r="AH571" s="7"/>
      <c r="AI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 t="s">
        <v>3970</v>
      </c>
      <c r="W572" s="7"/>
      <c r="X572" s="7"/>
      <c r="Y572" s="7"/>
      <c r="Z572" s="7"/>
      <c r="AA572" s="7"/>
      <c r="AB572" s="7"/>
      <c r="AC572" s="7"/>
      <c r="AD572" s="7"/>
      <c r="AE572" s="7"/>
      <c r="AF572" s="7" t="s">
        <v>3971</v>
      </c>
      <c r="AG572" s="7"/>
      <c r="AH572" s="7"/>
      <c r="AI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 t="s">
        <v>3972</v>
      </c>
      <c r="W573" s="7"/>
      <c r="X573" s="7"/>
      <c r="Y573" s="7"/>
      <c r="Z573" s="7"/>
      <c r="AA573" s="7"/>
      <c r="AB573" s="7"/>
      <c r="AC573" s="7"/>
      <c r="AD573" s="7"/>
      <c r="AE573" s="7"/>
      <c r="AF573" s="7" t="s">
        <v>3973</v>
      </c>
      <c r="AG573" s="7"/>
      <c r="AH573" s="7"/>
      <c r="AI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 t="s">
        <v>3974</v>
      </c>
      <c r="W574" s="7"/>
      <c r="X574" s="7"/>
      <c r="Y574" s="7"/>
      <c r="Z574" s="7"/>
      <c r="AA574" s="7"/>
      <c r="AB574" s="7"/>
      <c r="AC574" s="7"/>
      <c r="AD574" s="7"/>
      <c r="AE574" s="7"/>
      <c r="AF574" s="7" t="s">
        <v>3975</v>
      </c>
      <c r="AG574" s="7"/>
      <c r="AH574" s="7"/>
      <c r="AI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 t="s">
        <v>3976</v>
      </c>
      <c r="W575" s="7"/>
      <c r="X575" s="7"/>
      <c r="Y575" s="7"/>
      <c r="Z575" s="7"/>
      <c r="AA575" s="7"/>
      <c r="AB575" s="7"/>
      <c r="AC575" s="7"/>
      <c r="AD575" s="7"/>
      <c r="AE575" s="7"/>
      <c r="AF575" s="7" t="s">
        <v>3977</v>
      </c>
      <c r="AG575" s="7"/>
      <c r="AH575" s="7"/>
      <c r="AI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 t="s">
        <v>3978</v>
      </c>
      <c r="W576" s="7"/>
      <c r="X576" s="7"/>
      <c r="Y576" s="7"/>
      <c r="Z576" s="7"/>
      <c r="AA576" s="7"/>
      <c r="AB576" s="7"/>
      <c r="AC576" s="7"/>
      <c r="AD576" s="7"/>
      <c r="AE576" s="7"/>
      <c r="AF576" s="7" t="s">
        <v>3979</v>
      </c>
      <c r="AG576" s="7"/>
      <c r="AH576" s="7"/>
      <c r="AI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 t="s">
        <v>3980</v>
      </c>
      <c r="W577" s="7"/>
      <c r="X577" s="7"/>
      <c r="Y577" s="7"/>
      <c r="Z577" s="7"/>
      <c r="AA577" s="7"/>
      <c r="AB577" s="7"/>
      <c r="AC577" s="7"/>
      <c r="AD577" s="7"/>
      <c r="AE577" s="7"/>
      <c r="AF577" s="7" t="s">
        <v>3981</v>
      </c>
      <c r="AG577" s="7"/>
      <c r="AH577" s="7"/>
      <c r="AI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 t="s">
        <v>3982</v>
      </c>
      <c r="W578" s="7"/>
      <c r="X578" s="7"/>
      <c r="Y578" s="7"/>
      <c r="Z578" s="7"/>
      <c r="AA578" s="7"/>
      <c r="AB578" s="7"/>
      <c r="AC578" s="7"/>
      <c r="AD578" s="7"/>
      <c r="AE578" s="7"/>
      <c r="AF578" s="7" t="s">
        <v>3983</v>
      </c>
      <c r="AG578" s="7"/>
      <c r="AH578" s="7"/>
      <c r="AI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 t="s">
        <v>3984</v>
      </c>
      <c r="W579" s="7"/>
      <c r="X579" s="7"/>
      <c r="Y579" s="7"/>
      <c r="Z579" s="7"/>
      <c r="AA579" s="7"/>
      <c r="AB579" s="7"/>
      <c r="AC579" s="7"/>
      <c r="AD579" s="7"/>
      <c r="AE579" s="7"/>
      <c r="AF579" s="7" t="s">
        <v>3985</v>
      </c>
      <c r="AG579" s="7"/>
      <c r="AH579" s="7"/>
      <c r="AI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 t="s">
        <v>3986</v>
      </c>
      <c r="W580" s="7"/>
      <c r="X580" s="7"/>
      <c r="Y580" s="7"/>
      <c r="Z580" s="7"/>
      <c r="AA580" s="7"/>
      <c r="AB580" s="7"/>
      <c r="AC580" s="7"/>
      <c r="AD580" s="7"/>
      <c r="AE580" s="7"/>
      <c r="AF580" s="7" t="s">
        <v>3987</v>
      </c>
      <c r="AG580" s="7"/>
      <c r="AH580" s="7"/>
      <c r="AI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 t="s">
        <v>3988</v>
      </c>
      <c r="W581" s="7"/>
      <c r="X581" s="7"/>
      <c r="Y581" s="7"/>
      <c r="Z581" s="7"/>
      <c r="AA581" s="7"/>
      <c r="AB581" s="7"/>
      <c r="AC581" s="7"/>
      <c r="AD581" s="7"/>
      <c r="AE581" s="7"/>
      <c r="AF581" s="7" t="s">
        <v>3989</v>
      </c>
      <c r="AG581" s="7"/>
      <c r="AH581" s="7"/>
      <c r="AI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 t="s">
        <v>3990</v>
      </c>
      <c r="W582" s="7"/>
      <c r="X582" s="7"/>
      <c r="Y582" s="7"/>
      <c r="Z582" s="7"/>
      <c r="AA582" s="7"/>
      <c r="AB582" s="7"/>
      <c r="AC582" s="7"/>
      <c r="AD582" s="7"/>
      <c r="AE582" s="7"/>
      <c r="AF582" s="7" t="s">
        <v>3991</v>
      </c>
      <c r="AG582" s="7"/>
      <c r="AH582" s="7"/>
      <c r="AI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 t="s">
        <v>3992</v>
      </c>
      <c r="W583" s="7"/>
      <c r="X583" s="7"/>
      <c r="Y583" s="7"/>
      <c r="Z583" s="7"/>
      <c r="AA583" s="7"/>
      <c r="AB583" s="7"/>
      <c r="AC583" s="7"/>
      <c r="AD583" s="7"/>
      <c r="AE583" s="7"/>
      <c r="AF583" s="7" t="s">
        <v>3993</v>
      </c>
      <c r="AG583" s="7"/>
      <c r="AH583" s="7"/>
      <c r="AI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 t="s">
        <v>3994</v>
      </c>
      <c r="W584" s="7"/>
      <c r="X584" s="7"/>
      <c r="Y584" s="7"/>
      <c r="Z584" s="7"/>
      <c r="AA584" s="7"/>
      <c r="AB584" s="7"/>
      <c r="AC584" s="7"/>
      <c r="AD584" s="7"/>
      <c r="AE584" s="7"/>
      <c r="AF584" s="7" t="s">
        <v>3995</v>
      </c>
      <c r="AG584" s="7"/>
      <c r="AH584" s="7"/>
      <c r="AI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 t="s">
        <v>3996</v>
      </c>
      <c r="W585" s="7"/>
      <c r="X585" s="7"/>
      <c r="Y585" s="7"/>
      <c r="Z585" s="7"/>
      <c r="AA585" s="7"/>
      <c r="AB585" s="7"/>
      <c r="AC585" s="7"/>
      <c r="AD585" s="7"/>
      <c r="AE585" s="7"/>
      <c r="AF585" s="7" t="s">
        <v>3997</v>
      </c>
      <c r="AG585" s="7"/>
      <c r="AH585" s="7"/>
      <c r="AI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 t="s">
        <v>3998</v>
      </c>
      <c r="W586" s="7"/>
      <c r="X586" s="7"/>
      <c r="Y586" s="7"/>
      <c r="Z586" s="7"/>
      <c r="AA586" s="7"/>
      <c r="AB586" s="7"/>
      <c r="AC586" s="7"/>
      <c r="AD586" s="7"/>
      <c r="AE586" s="7"/>
      <c r="AF586" s="7" t="s">
        <v>3999</v>
      </c>
      <c r="AG586" s="7"/>
      <c r="AH586" s="7"/>
      <c r="AI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 t="s">
        <v>4000</v>
      </c>
      <c r="W587" s="7"/>
      <c r="X587" s="7"/>
      <c r="Y587" s="7"/>
      <c r="Z587" s="7"/>
      <c r="AA587" s="7"/>
      <c r="AB587" s="7"/>
      <c r="AC587" s="7"/>
      <c r="AD587" s="7"/>
      <c r="AE587" s="7"/>
      <c r="AF587" s="7" t="s">
        <v>4001</v>
      </c>
      <c r="AG587" s="7"/>
      <c r="AH587" s="7"/>
      <c r="AI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 t="s">
        <v>4002</v>
      </c>
      <c r="W588" s="7"/>
      <c r="X588" s="7"/>
      <c r="Y588" s="7"/>
      <c r="Z588" s="7"/>
      <c r="AA588" s="7"/>
      <c r="AB588" s="7"/>
      <c r="AC588" s="7"/>
      <c r="AD588" s="7"/>
      <c r="AE588" s="7"/>
      <c r="AF588" s="7" t="s">
        <v>4003</v>
      </c>
      <c r="AG588" s="7"/>
      <c r="AH588" s="7"/>
      <c r="AI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 t="s">
        <v>4004</v>
      </c>
      <c r="W589" s="7"/>
      <c r="X589" s="7"/>
      <c r="Y589" s="7"/>
      <c r="Z589" s="7"/>
      <c r="AA589" s="7"/>
      <c r="AB589" s="7"/>
      <c r="AC589" s="7"/>
      <c r="AD589" s="7"/>
      <c r="AE589" s="7"/>
      <c r="AF589" s="7" t="s">
        <v>4005</v>
      </c>
      <c r="AG589" s="7"/>
      <c r="AH589" s="7"/>
      <c r="AI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 t="s">
        <v>4006</v>
      </c>
      <c r="W590" s="7"/>
      <c r="X590" s="7"/>
      <c r="Y590" s="7"/>
      <c r="Z590" s="7"/>
      <c r="AA590" s="7"/>
      <c r="AB590" s="7"/>
      <c r="AC590" s="7"/>
      <c r="AD590" s="7"/>
      <c r="AE590" s="7"/>
      <c r="AF590" s="7" t="s">
        <v>4007</v>
      </c>
      <c r="AG590" s="7"/>
      <c r="AH590" s="7"/>
      <c r="AI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 t="s">
        <v>4008</v>
      </c>
      <c r="W591" s="7"/>
      <c r="X591" s="7"/>
      <c r="Y591" s="7"/>
      <c r="Z591" s="7"/>
      <c r="AA591" s="7"/>
      <c r="AB591" s="7"/>
      <c r="AC591" s="7"/>
      <c r="AD591" s="7"/>
      <c r="AE591" s="7"/>
      <c r="AF591" s="7" t="s">
        <v>4009</v>
      </c>
      <c r="AG591" s="7"/>
      <c r="AH591" s="7"/>
      <c r="AI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 t="s">
        <v>4010</v>
      </c>
      <c r="W592" s="7"/>
      <c r="X592" s="7"/>
      <c r="Y592" s="7"/>
      <c r="Z592" s="7"/>
      <c r="AA592" s="7"/>
      <c r="AB592" s="7"/>
      <c r="AC592" s="7"/>
      <c r="AD592" s="7"/>
      <c r="AE592" s="7"/>
      <c r="AF592" s="7" t="s">
        <v>4011</v>
      </c>
      <c r="AG592" s="7"/>
      <c r="AH592" s="7"/>
      <c r="AI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 t="s">
        <v>4012</v>
      </c>
      <c r="W593" s="7"/>
      <c r="X593" s="7"/>
      <c r="Y593" s="7"/>
      <c r="Z593" s="7"/>
      <c r="AA593" s="7"/>
      <c r="AB593" s="7"/>
      <c r="AC593" s="7"/>
      <c r="AD593" s="7"/>
      <c r="AE593" s="7"/>
      <c r="AF593" s="7" t="s">
        <v>4013</v>
      </c>
      <c r="AG593" s="7"/>
      <c r="AH593" s="7"/>
      <c r="AI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 t="s">
        <v>4014</v>
      </c>
      <c r="W594" s="7"/>
      <c r="X594" s="7"/>
      <c r="Y594" s="7"/>
      <c r="Z594" s="7"/>
      <c r="AA594" s="7"/>
      <c r="AB594" s="7"/>
      <c r="AC594" s="7"/>
      <c r="AD594" s="7"/>
      <c r="AE594" s="7"/>
      <c r="AF594" s="7" t="s">
        <v>4015</v>
      </c>
      <c r="AG594" s="7"/>
      <c r="AH594" s="7"/>
      <c r="AI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 t="s">
        <v>4016</v>
      </c>
      <c r="W595" s="7"/>
      <c r="X595" s="7"/>
      <c r="Y595" s="7"/>
      <c r="Z595" s="7"/>
      <c r="AA595" s="7"/>
      <c r="AB595" s="7"/>
      <c r="AC595" s="7"/>
      <c r="AD595" s="7"/>
      <c r="AE595" s="7"/>
      <c r="AF595" s="7" t="s">
        <v>4017</v>
      </c>
      <c r="AG595" s="7"/>
      <c r="AH595" s="7"/>
      <c r="AI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 t="s">
        <v>4018</v>
      </c>
      <c r="W596" s="7"/>
      <c r="X596" s="7"/>
      <c r="Y596" s="7"/>
      <c r="Z596" s="7"/>
      <c r="AA596" s="7"/>
      <c r="AB596" s="7"/>
      <c r="AC596" s="7"/>
      <c r="AD596" s="7"/>
      <c r="AE596" s="7"/>
      <c r="AF596" s="7" t="s">
        <v>4019</v>
      </c>
      <c r="AG596" s="7"/>
      <c r="AH596" s="7"/>
      <c r="AI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 t="s">
        <v>4020</v>
      </c>
      <c r="W597" s="7"/>
      <c r="X597" s="7"/>
      <c r="Y597" s="7"/>
      <c r="Z597" s="7"/>
      <c r="AA597" s="7"/>
      <c r="AB597" s="7"/>
      <c r="AC597" s="7"/>
      <c r="AD597" s="7"/>
      <c r="AE597" s="7"/>
      <c r="AF597" s="7" t="s">
        <v>4021</v>
      </c>
      <c r="AG597" s="7"/>
      <c r="AH597" s="7"/>
      <c r="AI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 t="s">
        <v>4022</v>
      </c>
      <c r="W598" s="7"/>
      <c r="X598" s="7"/>
      <c r="Y598" s="7"/>
      <c r="Z598" s="7"/>
      <c r="AA598" s="7"/>
      <c r="AB598" s="7"/>
      <c r="AC598" s="7"/>
      <c r="AD598" s="7"/>
      <c r="AE598" s="7"/>
      <c r="AF598" s="7" t="s">
        <v>4023</v>
      </c>
      <c r="AG598" s="7"/>
      <c r="AH598" s="7"/>
      <c r="AI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 t="s">
        <v>4024</v>
      </c>
      <c r="W599" s="7"/>
      <c r="X599" s="7"/>
      <c r="Y599" s="7"/>
      <c r="Z599" s="7"/>
      <c r="AA599" s="7"/>
      <c r="AB599" s="7"/>
      <c r="AC599" s="7"/>
      <c r="AD599" s="7"/>
      <c r="AE599" s="7"/>
      <c r="AF599" s="7" t="s">
        <v>4025</v>
      </c>
      <c r="AG599" s="7"/>
      <c r="AH599" s="7"/>
      <c r="AI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 t="s">
        <v>4026</v>
      </c>
      <c r="W600" s="7"/>
      <c r="X600" s="7"/>
      <c r="Y600" s="7"/>
      <c r="Z600" s="7"/>
      <c r="AA600" s="7"/>
      <c r="AB600" s="7"/>
      <c r="AC600" s="7"/>
      <c r="AD600" s="7"/>
      <c r="AE600" s="7"/>
      <c r="AF600" s="7" t="s">
        <v>4027</v>
      </c>
      <c r="AG600" s="7"/>
      <c r="AH600" s="7"/>
      <c r="AI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 t="s">
        <v>4028</v>
      </c>
      <c r="W601" s="7"/>
      <c r="X601" s="7"/>
      <c r="Y601" s="7"/>
      <c r="Z601" s="7"/>
      <c r="AA601" s="7"/>
      <c r="AB601" s="7"/>
      <c r="AC601" s="7"/>
      <c r="AD601" s="7"/>
      <c r="AE601" s="7"/>
      <c r="AF601" s="7" t="s">
        <v>4029</v>
      </c>
      <c r="AG601" s="7"/>
      <c r="AH601" s="7"/>
      <c r="AI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 t="s">
        <v>4030</v>
      </c>
      <c r="W602" s="7"/>
      <c r="X602" s="7"/>
      <c r="Y602" s="7"/>
      <c r="Z602" s="7"/>
      <c r="AA602" s="7"/>
      <c r="AB602" s="7"/>
      <c r="AC602" s="7"/>
      <c r="AD602" s="7"/>
      <c r="AE602" s="7"/>
      <c r="AF602" s="7" t="s">
        <v>4031</v>
      </c>
      <c r="AG602" s="7"/>
      <c r="AH602" s="7"/>
      <c r="AI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 t="s">
        <v>4032</v>
      </c>
      <c r="AG603" s="7"/>
      <c r="AH603" s="7"/>
      <c r="AI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 t="s">
        <v>4033</v>
      </c>
      <c r="AG604" s="7"/>
      <c r="AH604" s="7"/>
      <c r="AI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 t="s">
        <v>4034</v>
      </c>
      <c r="AG605" s="7"/>
      <c r="AH605" s="7"/>
      <c r="AI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 t="s">
        <v>4035</v>
      </c>
      <c r="AG606" s="7"/>
      <c r="AH606" s="7"/>
      <c r="AI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 t="s">
        <v>4036</v>
      </c>
      <c r="AG607" s="7"/>
      <c r="AH607" s="7"/>
      <c r="AI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 t="s">
        <v>4037</v>
      </c>
      <c r="AG608" s="7"/>
      <c r="AH608" s="7"/>
      <c r="AI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 t="s">
        <v>4038</v>
      </c>
      <c r="AG609" s="7"/>
      <c r="AH609" s="7"/>
      <c r="AI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 t="s">
        <v>4039</v>
      </c>
      <c r="AG610" s="7"/>
      <c r="AH610" s="7"/>
      <c r="AI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 t="s">
        <v>4040</v>
      </c>
      <c r="AG611" s="7"/>
      <c r="AH611" s="7"/>
      <c r="AI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 t="s">
        <v>4041</v>
      </c>
      <c r="AG612" s="7"/>
      <c r="AH612" s="7"/>
      <c r="AI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 t="s">
        <v>4042</v>
      </c>
      <c r="AG613" s="7"/>
      <c r="AH613" s="7"/>
      <c r="AI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 t="s">
        <v>4043</v>
      </c>
      <c r="AG614" s="7"/>
      <c r="AH614" s="7"/>
      <c r="AI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 t="s">
        <v>4044</v>
      </c>
      <c r="AG615" s="7"/>
      <c r="AH615" s="7"/>
      <c r="AI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 t="s">
        <v>4045</v>
      </c>
      <c r="AG616" s="7"/>
      <c r="AH616" s="7"/>
      <c r="AI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 t="s">
        <v>4046</v>
      </c>
      <c r="AG617" s="7"/>
      <c r="AH617" s="7"/>
      <c r="AI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 t="s">
        <v>4047</v>
      </c>
      <c r="AG618" s="7"/>
      <c r="AH618" s="7"/>
      <c r="AI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 t="s">
        <v>4048</v>
      </c>
      <c r="AG619" s="7"/>
      <c r="AH619" s="7"/>
      <c r="AI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 t="s">
        <v>4049</v>
      </c>
      <c r="AG620" s="7"/>
      <c r="AH620" s="7"/>
      <c r="AI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 t="s">
        <v>4050</v>
      </c>
      <c r="AG621" s="7"/>
      <c r="AH621" s="7"/>
      <c r="AI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 t="s">
        <v>4051</v>
      </c>
      <c r="AG622" s="7"/>
      <c r="AH622" s="7"/>
      <c r="AI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 t="s">
        <v>4052</v>
      </c>
      <c r="AG623" s="7"/>
      <c r="AH623" s="7"/>
      <c r="AI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 t="s">
        <v>4053</v>
      </c>
      <c r="AG624" s="7"/>
      <c r="AH624" s="7"/>
      <c r="AI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 t="s">
        <v>4054</v>
      </c>
      <c r="AG625" s="7"/>
      <c r="AH625" s="7"/>
      <c r="AI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 t="s">
        <v>4055</v>
      </c>
      <c r="AG626" s="7"/>
      <c r="AH626" s="7"/>
      <c r="AI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 t="s">
        <v>4056</v>
      </c>
      <c r="AG627" s="7"/>
      <c r="AH627" s="7"/>
      <c r="AI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 t="s">
        <v>4057</v>
      </c>
      <c r="AG628" s="7"/>
      <c r="AH628" s="7"/>
      <c r="AI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 t="s">
        <v>4058</v>
      </c>
      <c r="AG629" s="7"/>
      <c r="AH629" s="7"/>
      <c r="AI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 t="s">
        <v>4059</v>
      </c>
      <c r="AG630" s="7"/>
      <c r="AH630" s="7"/>
      <c r="AI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 t="s">
        <v>4060</v>
      </c>
      <c r="AG631" s="7"/>
      <c r="AH631" s="7"/>
      <c r="AI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 t="s">
        <v>4061</v>
      </c>
      <c r="AG632" s="7"/>
      <c r="AH632" s="7"/>
      <c r="AI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 t="s">
        <v>4062</v>
      </c>
      <c r="AG633" s="7"/>
      <c r="AH633" s="7"/>
      <c r="AI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 t="s">
        <v>4063</v>
      </c>
      <c r="AG634" s="7"/>
      <c r="AH634" s="7"/>
      <c r="AI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 t="s">
        <v>4064</v>
      </c>
      <c r="AG635" s="7"/>
      <c r="AH635" s="7"/>
      <c r="AI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 t="s">
        <v>4065</v>
      </c>
      <c r="AG636" s="7"/>
      <c r="AH636" s="7"/>
      <c r="AI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 t="s">
        <v>4066</v>
      </c>
      <c r="AG637" s="7"/>
      <c r="AH637" s="7"/>
      <c r="AI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 t="s">
        <v>4067</v>
      </c>
      <c r="AG638" s="7"/>
      <c r="AH638" s="7"/>
      <c r="AI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 t="s">
        <v>4068</v>
      </c>
      <c r="AG639" s="7"/>
      <c r="AH639" s="7"/>
      <c r="AI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 t="s">
        <v>4069</v>
      </c>
      <c r="AG640" s="7"/>
      <c r="AH640" s="7"/>
      <c r="AI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 t="s">
        <v>4070</v>
      </c>
      <c r="AG641" s="7"/>
      <c r="AH641" s="7"/>
      <c r="AI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 t="s">
        <v>4071</v>
      </c>
      <c r="AG642" s="7"/>
      <c r="AH642" s="7"/>
      <c r="AI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 t="s">
        <v>4072</v>
      </c>
      <c r="AG643" s="7"/>
      <c r="AH643" s="7"/>
      <c r="AI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 t="s">
        <v>4073</v>
      </c>
      <c r="AG644" s="7"/>
      <c r="AH644" s="7"/>
      <c r="AI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 t="s">
        <v>4074</v>
      </c>
      <c r="AG645" s="7"/>
      <c r="AH645" s="7"/>
      <c r="AI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 t="s">
        <v>4075</v>
      </c>
      <c r="AG646" s="7"/>
      <c r="AH646" s="7"/>
      <c r="AI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 t="s">
        <v>4076</v>
      </c>
      <c r="AG647" s="7"/>
      <c r="AH647" s="7"/>
      <c r="AI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 t="s">
        <v>4077</v>
      </c>
      <c r="AG648" s="7"/>
      <c r="AH648" s="7"/>
      <c r="AI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 t="s">
        <v>4078</v>
      </c>
      <c r="AG649" s="7"/>
      <c r="AH649" s="7"/>
      <c r="AI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 t="s">
        <v>4079</v>
      </c>
      <c r="AG650" s="7"/>
      <c r="AH650" s="7"/>
      <c r="AI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 t="s">
        <v>4080</v>
      </c>
      <c r="AG651" s="7"/>
      <c r="AH651" s="7"/>
      <c r="AI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 t="s">
        <v>4081</v>
      </c>
      <c r="AG652" s="7"/>
      <c r="AH652" s="7"/>
      <c r="AI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 t="s">
        <v>4082</v>
      </c>
      <c r="AG653" s="7"/>
      <c r="AH653" s="7"/>
      <c r="AI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 t="s">
        <v>4083</v>
      </c>
      <c r="AG654" s="7"/>
      <c r="AH654" s="7"/>
      <c r="AI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 t="s">
        <v>4084</v>
      </c>
      <c r="AG655" s="7"/>
      <c r="AH655" s="7"/>
      <c r="AI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 t="s">
        <v>4085</v>
      </c>
      <c r="AG656" s="7"/>
      <c r="AH656" s="7"/>
      <c r="AI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 t="s">
        <v>4086</v>
      </c>
      <c r="AG657" s="7"/>
      <c r="AH657" s="7"/>
      <c r="AI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 t="s">
        <v>4087</v>
      </c>
      <c r="AG658" s="7"/>
      <c r="AH658" s="7"/>
      <c r="AI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 t="s">
        <v>4088</v>
      </c>
      <c r="AG659" s="7"/>
      <c r="AH659" s="7"/>
      <c r="AI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 t="s">
        <v>4089</v>
      </c>
      <c r="AG660" s="7"/>
      <c r="AH660" s="7"/>
      <c r="AI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 t="s">
        <v>4090</v>
      </c>
      <c r="AG661" s="7"/>
      <c r="AH661" s="7"/>
      <c r="AI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 t="s">
        <v>4091</v>
      </c>
      <c r="AG662" s="7"/>
      <c r="AH662" s="7"/>
      <c r="AI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 t="s">
        <v>4092</v>
      </c>
      <c r="AG663" s="7"/>
      <c r="AH663" s="7"/>
      <c r="AI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 t="s">
        <v>4093</v>
      </c>
      <c r="AG664" s="7"/>
      <c r="AH664" s="7"/>
      <c r="AI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 t="s">
        <v>4094</v>
      </c>
      <c r="AG665" s="7"/>
      <c r="AH665" s="7"/>
      <c r="AI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 t="s">
        <v>4095</v>
      </c>
      <c r="AG666" s="7"/>
      <c r="AH666" s="7"/>
      <c r="AI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 t="s">
        <v>4096</v>
      </c>
      <c r="AG667" s="7"/>
      <c r="AH667" s="7"/>
      <c r="AI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 t="s">
        <v>4097</v>
      </c>
      <c r="AG668" s="7"/>
      <c r="AH668" s="7"/>
      <c r="AI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 t="s">
        <v>4098</v>
      </c>
      <c r="AG669" s="7"/>
      <c r="AH669" s="7"/>
      <c r="AI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 t="s">
        <v>4099</v>
      </c>
      <c r="AG670" s="7"/>
      <c r="AH670" s="7"/>
      <c r="AI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 t="s">
        <v>4100</v>
      </c>
      <c r="AG671" s="7"/>
      <c r="AH671" s="7"/>
      <c r="AI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 t="s">
        <v>4101</v>
      </c>
      <c r="AG672" s="7"/>
      <c r="AH672" s="7"/>
      <c r="AI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 t="s">
        <v>4102</v>
      </c>
      <c r="AG673" s="7"/>
      <c r="AH673" s="7"/>
      <c r="AI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 t="s">
        <v>4103</v>
      </c>
      <c r="AG674" s="7"/>
      <c r="AH674" s="7"/>
      <c r="AI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 t="s">
        <v>4104</v>
      </c>
      <c r="AG675" s="7"/>
      <c r="AH675" s="7"/>
      <c r="AI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 t="s">
        <v>4105</v>
      </c>
      <c r="AG676" s="7"/>
      <c r="AH676" s="7"/>
      <c r="AI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 t="s">
        <v>4106</v>
      </c>
      <c r="AG677" s="7"/>
      <c r="AH677" s="7"/>
      <c r="AI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 t="s">
        <v>4107</v>
      </c>
      <c r="AG678" s="7"/>
      <c r="AH678" s="7"/>
      <c r="AI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 t="s">
        <v>4108</v>
      </c>
      <c r="AG679" s="7"/>
      <c r="AH679" s="7"/>
      <c r="AI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 t="s">
        <v>4109</v>
      </c>
      <c r="AG680" s="7"/>
      <c r="AH680" s="7"/>
      <c r="AI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 t="s">
        <v>4110</v>
      </c>
      <c r="AG681" s="7"/>
      <c r="AH681" s="7"/>
      <c r="AI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 t="s">
        <v>4111</v>
      </c>
      <c r="AG682" s="7"/>
      <c r="AH682" s="7"/>
      <c r="AI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 t="s">
        <v>4112</v>
      </c>
      <c r="AG683" s="7"/>
      <c r="AH683" s="7"/>
      <c r="AI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 t="s">
        <v>4113</v>
      </c>
      <c r="AG684" s="7"/>
      <c r="AH684" s="7"/>
      <c r="AI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 t="s">
        <v>4114</v>
      </c>
      <c r="AG685" s="7"/>
      <c r="AH685" s="7"/>
      <c r="AI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 t="s">
        <v>4115</v>
      </c>
      <c r="AG686" s="7"/>
      <c r="AH686" s="7"/>
      <c r="AI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 t="s">
        <v>4116</v>
      </c>
      <c r="AG687" s="7"/>
      <c r="AH687" s="7"/>
      <c r="AI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 t="s">
        <v>4117</v>
      </c>
      <c r="AG688" s="7"/>
      <c r="AH688" s="7"/>
      <c r="AI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 t="s">
        <v>4118</v>
      </c>
      <c r="AG689" s="7"/>
      <c r="AH689" s="7"/>
      <c r="AI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2022-03-03T15:08:19Z</dcterms:created>
  <dc:creator>PC C_line</dc:creator>
  <dc:description/>
  <dc:language>fr-FR</dc:language>
  <cp:lastModifiedBy/>
  <dcterms:modified xsi:type="dcterms:W3CDTF">2025-01-23T16:24:38Z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